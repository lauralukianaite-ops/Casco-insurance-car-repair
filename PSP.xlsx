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aura/Desktop/2 semestras/Algoritmai ir duomenų struktūros/lab3/"/>
    </mc:Choice>
  </mc:AlternateContent>
  <xr:revisionPtr revIDLastSave="0" documentId="13_ncr:1_{7CE1D45D-6BFF-AB4A-BDF8-9C0652571242}" xr6:coauthVersionLast="47" xr6:coauthVersionMax="47" xr10:uidLastSave="{00000000-0000-0000-0000-000000000000}"/>
  <bookViews>
    <workbookView xWindow="0" yWindow="660" windowWidth="30240" windowHeight="18980" xr2:uid="{5942AB64-4C26-9646-BCDE-E7F2EA838442}"/>
  </bookViews>
  <sheets>
    <sheet name="LFF" sheetId="1" r:id="rId1"/>
    <sheet name="PDF" sheetId="6" r:id="rId2"/>
    <sheet name="DVF" sheetId="8" r:id="rId3"/>
    <sheet name="PPS" sheetId="7" r:id="rId4"/>
    <sheet name="DTS" sheetId="5" r:id="rId5"/>
    <sheet name="DFF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7" l="1"/>
  <c r="E41" i="7"/>
  <c r="D41" i="7"/>
  <c r="E33" i="7"/>
  <c r="D33" i="7"/>
  <c r="C24" i="7"/>
  <c r="C23" i="7"/>
  <c r="D22" i="7"/>
  <c r="E9" i="7"/>
  <c r="C9" i="7"/>
  <c r="D9" i="7"/>
  <c r="D6" i="6"/>
  <c r="G29" i="8"/>
  <c r="F29" i="8"/>
  <c r="E29" i="8"/>
  <c r="C25" i="7"/>
  <c r="E22" i="7"/>
  <c r="E11" i="7"/>
  <c r="F36" i="7" l="1"/>
  <c r="F35" i="7"/>
  <c r="F40" i="7"/>
  <c r="F39" i="7"/>
  <c r="F38" i="7"/>
  <c r="F37" i="7"/>
  <c r="F30" i="7"/>
  <c r="F29" i="7"/>
  <c r="F28" i="7"/>
  <c r="F27" i="7"/>
  <c r="F32" i="7"/>
  <c r="F31" i="7"/>
  <c r="F21" i="7"/>
  <c r="F20" i="7"/>
  <c r="F19" i="7"/>
  <c r="F18" i="7"/>
  <c r="F17" i="7"/>
  <c r="F16" i="7"/>
  <c r="F15" i="7"/>
  <c r="F33" i="7" l="1"/>
  <c r="F41" i="7"/>
  <c r="F2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Saulius</author>
  </authors>
  <commentList>
    <comment ref="C8" authorId="0" shapeId="0" xr:uid="{A289B50F-42BF-DC46-856E-2A19DABBA412}">
      <text>
        <r>
          <rPr>
            <sz val="8"/>
            <color rgb="FF000000"/>
            <rFont val="Tahoma"/>
            <family val="2"/>
          </rPr>
          <t xml:space="preserve">Pildoma </t>
        </r>
        <r>
          <rPr>
            <b/>
            <sz val="8"/>
            <color rgb="FF000000"/>
            <rFont val="Tahoma"/>
            <family val="2"/>
          </rPr>
          <t xml:space="preserve">Planavimo </t>
        </r>
        <r>
          <rPr>
            <sz val="8"/>
            <color rgb="FF000000"/>
            <rFont val="Tahoma"/>
            <family val="2"/>
          </rPr>
          <t xml:space="preserve">fazės metu, remiantis </t>
        </r>
        <r>
          <rPr>
            <b/>
            <sz val="8"/>
            <color rgb="FF000000"/>
            <rFont val="Tahoma"/>
            <family val="2"/>
          </rPr>
          <t>PDF</t>
        </r>
        <r>
          <rPr>
            <sz val="8"/>
            <color rgb="FF000000"/>
            <rFont val="Tahoma"/>
            <family val="2"/>
          </rPr>
          <t xml:space="preserve"> duomenimis</t>
        </r>
        <r>
          <rPr>
            <b/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Tahoma"/>
            <family val="2"/>
          </rPr>
          <t xml:space="preserve">
</t>
        </r>
      </text>
    </comment>
    <comment ref="C11" authorId="0" shapeId="0" xr:uid="{496CC565-C1F9-2746-8AD0-8CFF0E944370}">
      <text>
        <r>
          <rPr>
            <sz val="8"/>
            <color rgb="FF000000"/>
            <rFont val="Tahoma"/>
            <family val="2"/>
          </rPr>
          <t xml:space="preserve">Pildoma </t>
        </r>
        <r>
          <rPr>
            <b/>
            <sz val="8"/>
            <color rgb="FF000000"/>
            <rFont val="Tahoma"/>
            <family val="2"/>
          </rPr>
          <t xml:space="preserve">Planavimo </t>
        </r>
        <r>
          <rPr>
            <sz val="8"/>
            <color rgb="FF000000"/>
            <rFont val="Tahoma"/>
            <family val="2"/>
          </rPr>
          <t xml:space="preserve">fazės metu, remiantis </t>
        </r>
        <r>
          <rPr>
            <b/>
            <sz val="8"/>
            <color rgb="FF000000"/>
            <rFont val="Tahoma"/>
            <family val="2"/>
          </rPr>
          <t>DVF</t>
        </r>
        <r>
          <rPr>
            <sz val="8"/>
            <color rgb="FF000000"/>
            <rFont val="Tahoma"/>
            <family val="2"/>
          </rPr>
          <t xml:space="preserve"> duomenimis</t>
        </r>
        <r>
          <rPr>
            <b/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Tahoma"/>
            <family val="2"/>
          </rPr>
          <t xml:space="preserve">
</t>
        </r>
      </text>
    </comment>
    <comment ref="C12" authorId="0" shapeId="0" xr:uid="{B8B7CD1C-FFEC-3A48-A7DD-F1AAB99BD162}">
      <text>
        <r>
          <rPr>
            <sz val="8"/>
            <color rgb="FF000000"/>
            <rFont val="Tahoma"/>
            <family val="2"/>
          </rPr>
          <t xml:space="preserve">Pildoma </t>
        </r>
        <r>
          <rPr>
            <b/>
            <sz val="8"/>
            <color rgb="FF000000"/>
            <rFont val="Tahoma"/>
            <family val="2"/>
          </rPr>
          <t xml:space="preserve">Planavimo </t>
        </r>
        <r>
          <rPr>
            <sz val="8"/>
            <color rgb="FF000000"/>
            <rFont val="Tahoma"/>
            <family val="2"/>
          </rPr>
          <t xml:space="preserve">fazės metu, remiantis </t>
        </r>
        <r>
          <rPr>
            <b/>
            <sz val="8"/>
            <color rgb="FF000000"/>
            <rFont val="Tahoma"/>
            <family val="2"/>
          </rPr>
          <t>DVF</t>
        </r>
        <r>
          <rPr>
            <sz val="8"/>
            <color rgb="FF000000"/>
            <rFont val="Tahoma"/>
            <family val="2"/>
          </rPr>
          <t xml:space="preserve"> duomenimis</t>
        </r>
        <r>
          <rPr>
            <b/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Tahoma"/>
            <family val="2"/>
          </rPr>
          <t xml:space="preserve">
</t>
        </r>
      </text>
    </comment>
    <comment ref="C13" authorId="0" shapeId="0" xr:uid="{78E26828-F49E-6F45-B78A-6A6CBFF6286C}">
      <text>
        <r>
          <rPr>
            <sz val="8"/>
            <color rgb="FF000000"/>
            <rFont val="Tahoma"/>
            <family val="2"/>
          </rPr>
          <t xml:space="preserve">Pildoma </t>
        </r>
        <r>
          <rPr>
            <b/>
            <sz val="8"/>
            <color rgb="FF000000"/>
            <rFont val="Tahoma"/>
            <family val="2"/>
          </rPr>
          <t xml:space="preserve">Planavimo </t>
        </r>
        <r>
          <rPr>
            <sz val="8"/>
            <color rgb="FF000000"/>
            <rFont val="Tahoma"/>
            <family val="2"/>
          </rPr>
          <t xml:space="preserve">fazės metu, remiantis </t>
        </r>
        <r>
          <rPr>
            <b/>
            <sz val="8"/>
            <color rgb="FF000000"/>
            <rFont val="Tahoma"/>
            <family val="2"/>
          </rPr>
          <t>DVF</t>
        </r>
        <r>
          <rPr>
            <sz val="8"/>
            <color rgb="FF000000"/>
            <rFont val="Tahoma"/>
            <family val="2"/>
          </rPr>
          <t xml:space="preserve"> duomenimis</t>
        </r>
        <r>
          <rPr>
            <b/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Tahoma"/>
            <family val="2"/>
          </rPr>
          <t xml:space="preserve">
</t>
        </r>
      </text>
    </comment>
    <comment ref="C15" authorId="0" shapeId="0" xr:uid="{CB4792D6-F89E-A945-9346-1195CA2C9E03}">
      <text>
        <r>
          <rPr>
            <sz val="8"/>
            <color rgb="FF000000"/>
            <rFont val="Tahoma"/>
            <family val="2"/>
          </rPr>
          <t xml:space="preserve">Pildoma </t>
        </r>
        <r>
          <rPr>
            <b/>
            <sz val="8"/>
            <color rgb="FF000000"/>
            <rFont val="Tahoma"/>
            <family val="2"/>
          </rPr>
          <t xml:space="preserve">Planavimo </t>
        </r>
        <r>
          <rPr>
            <sz val="8"/>
            <color rgb="FF000000"/>
            <rFont val="Tahoma"/>
            <family val="2"/>
          </rPr>
          <t>fazės metu</t>
        </r>
        <r>
          <rPr>
            <b/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Tahoma"/>
            <family val="2"/>
          </rPr>
          <t xml:space="preserve">
</t>
        </r>
      </text>
    </comment>
    <comment ref="C16" authorId="0" shapeId="0" xr:uid="{BB1F14F5-93D5-E942-880C-D12712DEEE06}">
      <text>
        <r>
          <rPr>
            <sz val="8"/>
            <color rgb="FF000000"/>
            <rFont val="Tahoma"/>
            <family val="2"/>
          </rPr>
          <t xml:space="preserve">Pildoma </t>
        </r>
        <r>
          <rPr>
            <b/>
            <sz val="8"/>
            <color rgb="FF000000"/>
            <rFont val="Tahoma"/>
            <family val="2"/>
          </rPr>
          <t xml:space="preserve">Planavimo </t>
        </r>
        <r>
          <rPr>
            <sz val="8"/>
            <color rgb="FF000000"/>
            <rFont val="Tahoma"/>
            <family val="2"/>
          </rPr>
          <t>fazės metu</t>
        </r>
        <r>
          <rPr>
            <b/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Tahoma"/>
            <family val="2"/>
          </rPr>
          <t xml:space="preserve">
</t>
        </r>
      </text>
    </comment>
    <comment ref="C17" authorId="0" shapeId="0" xr:uid="{EEC69207-40A9-774A-AAD5-7439F458C1AB}">
      <text>
        <r>
          <rPr>
            <sz val="8"/>
            <color indexed="81"/>
            <rFont val="Tahoma"/>
            <family val="2"/>
          </rPr>
          <t xml:space="preserve">Pildoma </t>
        </r>
        <r>
          <rPr>
            <b/>
            <sz val="8"/>
            <color indexed="81"/>
            <rFont val="Tahoma"/>
            <family val="2"/>
          </rPr>
          <t xml:space="preserve">Planavimo </t>
        </r>
        <r>
          <rPr>
            <sz val="8"/>
            <color indexed="81"/>
            <rFont val="Tahoma"/>
            <family val="2"/>
          </rPr>
          <t>fazės metu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18" authorId="0" shapeId="0" xr:uid="{B1BC5975-6B61-5B4B-9266-C7307A6D7372}">
      <text>
        <r>
          <rPr>
            <sz val="8"/>
            <color indexed="81"/>
            <rFont val="Tahoma"/>
            <family val="2"/>
          </rPr>
          <t xml:space="preserve">Pildoma </t>
        </r>
        <r>
          <rPr>
            <b/>
            <sz val="8"/>
            <color indexed="81"/>
            <rFont val="Tahoma"/>
            <family val="2"/>
          </rPr>
          <t xml:space="preserve">Planavimo </t>
        </r>
        <r>
          <rPr>
            <sz val="8"/>
            <color indexed="81"/>
            <rFont val="Tahoma"/>
            <family val="2"/>
          </rPr>
          <t>fazės metu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19" authorId="0" shapeId="0" xr:uid="{B7AF4516-D35F-214B-9BB5-9BFCBA52146B}">
      <text>
        <r>
          <rPr>
            <sz val="8"/>
            <color indexed="81"/>
            <rFont val="Tahoma"/>
            <family val="2"/>
          </rPr>
          <t xml:space="preserve">Pildoma </t>
        </r>
        <r>
          <rPr>
            <b/>
            <sz val="8"/>
            <color indexed="81"/>
            <rFont val="Tahoma"/>
            <family val="2"/>
          </rPr>
          <t xml:space="preserve">Planavimo </t>
        </r>
        <r>
          <rPr>
            <sz val="8"/>
            <color indexed="81"/>
            <rFont val="Tahoma"/>
            <family val="2"/>
          </rPr>
          <t>fazės metu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20" authorId="0" shapeId="0" xr:uid="{3898B434-64B7-6E4E-BD67-78647F5AF27C}">
      <text>
        <r>
          <rPr>
            <sz val="8"/>
            <color indexed="81"/>
            <rFont val="Tahoma"/>
            <family val="2"/>
          </rPr>
          <t xml:space="preserve">Pildoma </t>
        </r>
        <r>
          <rPr>
            <b/>
            <sz val="8"/>
            <color indexed="81"/>
            <rFont val="Tahoma"/>
            <family val="2"/>
          </rPr>
          <t xml:space="preserve">Planavimo </t>
        </r>
        <r>
          <rPr>
            <sz val="8"/>
            <color indexed="81"/>
            <rFont val="Tahoma"/>
            <family val="2"/>
          </rPr>
          <t>fazės metu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21" authorId="0" shapeId="0" xr:uid="{E7CA8FE4-7D06-D04E-8992-71547A9F7E45}">
      <text>
        <r>
          <rPr>
            <sz val="8"/>
            <color indexed="81"/>
            <rFont val="Tahoma"/>
            <family val="2"/>
          </rPr>
          <t xml:space="preserve">Pildoma </t>
        </r>
        <r>
          <rPr>
            <b/>
            <sz val="8"/>
            <color indexed="81"/>
            <rFont val="Tahoma"/>
            <family val="2"/>
          </rPr>
          <t xml:space="preserve">Planavimo </t>
        </r>
        <r>
          <rPr>
            <sz val="8"/>
            <color indexed="81"/>
            <rFont val="Tahoma"/>
            <family val="2"/>
          </rPr>
          <t>fazės metu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22" authorId="0" shapeId="0" xr:uid="{6D3D3121-16A2-BF4D-9CC8-F31755C875E8}">
      <text>
        <r>
          <rPr>
            <sz val="8"/>
            <color rgb="FF000000"/>
            <rFont val="Tahoma"/>
            <family val="2"/>
          </rPr>
          <t xml:space="preserve">Suplanuota projekto trukmė </t>
        </r>
        <r>
          <rPr>
            <b/>
            <i/>
            <sz val="8"/>
            <color rgb="FF000000"/>
            <rFont val="Tahoma"/>
            <family val="2"/>
          </rPr>
          <t xml:space="preserve">Viso </t>
        </r>
        <r>
          <rPr>
            <sz val="8"/>
            <color rgb="FF000000"/>
            <rFont val="Tahoma"/>
            <family val="2"/>
          </rPr>
          <t xml:space="preserve">turi sutapti su </t>
        </r>
        <r>
          <rPr>
            <i/>
            <sz val="8"/>
            <color rgb="FF000000"/>
            <rFont val="Tahoma"/>
            <family val="2"/>
          </rPr>
          <t xml:space="preserve">Apskaičiuotas laikas </t>
        </r>
        <r>
          <rPr>
            <sz val="8"/>
            <color rgb="FF000000"/>
            <rFont val="Tahoma"/>
            <family val="2"/>
          </rPr>
          <t xml:space="preserve">reikšme
</t>
        </r>
      </text>
    </comment>
  </commentList>
</comments>
</file>

<file path=xl/sharedStrings.xml><?xml version="1.0" encoding="utf-8"?>
<sst xmlns="http://schemas.openxmlformats.org/spreadsheetml/2006/main" count="237" uniqueCount="136">
  <si>
    <t>Laura Lukianaitė</t>
  </si>
  <si>
    <t>Laiko fiksavimo forma</t>
  </si>
  <si>
    <t>Data</t>
  </si>
  <si>
    <t>Nuo</t>
  </si>
  <si>
    <t>Iki</t>
  </si>
  <si>
    <t>Trukdžiai</t>
  </si>
  <si>
    <t>Laikas</t>
  </si>
  <si>
    <t>Veikla</t>
  </si>
  <si>
    <t>Komentarai</t>
  </si>
  <si>
    <t>B.</t>
  </si>
  <si>
    <t>Vnt.</t>
  </si>
  <si>
    <t>Skaitymas</t>
  </si>
  <si>
    <t>PSP veikla</t>
  </si>
  <si>
    <t>Programavimas</t>
  </si>
  <si>
    <t>Data:</t>
  </si>
  <si>
    <t>Grupė:</t>
  </si>
  <si>
    <t>Studentė:</t>
  </si>
  <si>
    <t>Projektavimas</t>
  </si>
  <si>
    <t>Testavimas</t>
  </si>
  <si>
    <t>Radimo data</t>
  </si>
  <si>
    <t>Defekto numeris</t>
  </si>
  <si>
    <t>Defekto tipas</t>
  </si>
  <si>
    <t>Padarytas fazėje</t>
  </si>
  <si>
    <t>Pašalintas fazėje</t>
  </si>
  <si>
    <t>Taisymo laikas</t>
  </si>
  <si>
    <t>Taisant defektą</t>
  </si>
  <si>
    <t>Detalus defekto aprašas</t>
  </si>
  <si>
    <t>Tipo numeris</t>
  </si>
  <si>
    <t>Tipo pavadinimas</t>
  </si>
  <si>
    <t>Aprašas</t>
  </si>
  <si>
    <t>Dokumentavimas</t>
  </si>
  <si>
    <t>komentarai, pranešimai</t>
  </si>
  <si>
    <t>Sintaksė</t>
  </si>
  <si>
    <t>sintaksinės klaidos</t>
  </si>
  <si>
    <t>Versijavimas</t>
  </si>
  <si>
    <t>pakeitimų valdymas, versijų kontrolė</t>
  </si>
  <si>
    <t>Vardai</t>
  </si>
  <si>
    <t>aprašai, vienodi vardai, galiojimo sritis</t>
  </si>
  <si>
    <t>Interfeisas</t>
  </si>
  <si>
    <t>funkcijų/procedūrų iškvietimai, įvedimas-išvedimas, vartotojo formatai</t>
  </si>
  <si>
    <t>Kontrolė</t>
  </si>
  <si>
    <t>klaidų pranešimai, nepakankama kontrolė</t>
  </si>
  <si>
    <t>Duomenys</t>
  </si>
  <si>
    <t>duomenų struktūros ir turinys</t>
  </si>
  <si>
    <t>Funkcionalumas</t>
  </si>
  <si>
    <t>logika, rodyklės, ciklai, rekursija, skaičiavimai, funkcionalumo defektai</t>
  </si>
  <si>
    <t>Sistema</t>
  </si>
  <si>
    <t>konfigūracija, sinchronizavimas, atminties valdymas</t>
  </si>
  <si>
    <t>Aplinka</t>
  </si>
  <si>
    <t>aplinkos (projektavimo, kompiliavimo, testavimo ar kt.) problemos</t>
  </si>
  <si>
    <t>Pasirašau juodraštinį algoritmą kas bus atliekama šioje užduotyje.</t>
  </si>
  <si>
    <t>Planavimas</t>
  </si>
  <si>
    <t>+27</t>
  </si>
  <si>
    <t>04-09</t>
  </si>
  <si>
    <t>17min</t>
  </si>
  <si>
    <t>45min</t>
  </si>
  <si>
    <t>15min</t>
  </si>
  <si>
    <t>-</t>
  </si>
  <si>
    <t>5min</t>
  </si>
  <si>
    <t>Gilinuosi į užduotį, aiškinuosi ką daro prioritetinė eilė bei ilgas sveikas skaičius, kodėl man jie bus reikalingi užduotyje.</t>
  </si>
  <si>
    <t>Susirandu iš studentų lab1 reikiamus failus, susieju jog veiktų (main.c BigInt.c BigInt.h pqueue.c pqueue.h)</t>
  </si>
  <si>
    <t>04-10</t>
  </si>
  <si>
    <t>18min</t>
  </si>
  <si>
    <t>15min pertrauka</t>
  </si>
  <si>
    <t>65min</t>
  </si>
  <si>
    <t>67min</t>
  </si>
  <si>
    <t>Parametrų nuskaitymas main.c faile, pradedu rašyti kodo logiką.</t>
  </si>
  <si>
    <t>10min pertrauka</t>
  </si>
  <si>
    <t>107min</t>
  </si>
  <si>
    <t>+60</t>
  </si>
  <si>
    <t>+74</t>
  </si>
  <si>
    <t>Kodo logika main.c faile baigta</t>
  </si>
  <si>
    <t>Mąstau kaip turės atrodyti efektyvus kodas</t>
  </si>
  <si>
    <t>04-12</t>
  </si>
  <si>
    <t>26min</t>
  </si>
  <si>
    <t>Peržiūra</t>
  </si>
  <si>
    <t>Prisimenu ką prirašiau, ar logiška ir ar tiksliai atitinka reikalavimus</t>
  </si>
  <si>
    <t>Taisau padarytas klaidas susijusias su užduoties reikalavimais, sukurius makefile, Go.cmd, README.md, atskiriu main.c logiką nuo parametrų nuskaitymo ir perkeliu i simulation.c failą</t>
  </si>
  <si>
    <t>+100</t>
  </si>
  <si>
    <t>Projekto plano suvestinė</t>
  </si>
  <si>
    <t>Studentas:</t>
  </si>
  <si>
    <t>Programa:</t>
  </si>
  <si>
    <t>KaskoSim</t>
  </si>
  <si>
    <t>Programavimo kalba:</t>
  </si>
  <si>
    <t>C</t>
  </si>
  <si>
    <t>Trumpas programos apibūdinimas:</t>
  </si>
  <si>
    <t>Simuliuojamas autoservisas su dviejų tipų klientais: VIP ir paprastais. Modeliuojama kuri strategija servisui naudingesnė - turėti bendradarbiavimo sutartis ar dirbti be jų.</t>
  </si>
  <si>
    <t>Produktyvumas</t>
  </si>
  <si>
    <t>Planas</t>
  </si>
  <si>
    <t>Faktas</t>
  </si>
  <si>
    <t>Iki šiol</t>
  </si>
  <si>
    <t>Min/ES</t>
  </si>
  <si>
    <t>ES/Val</t>
  </si>
  <si>
    <t>Programos dydis (ES)</t>
  </si>
  <si>
    <t>Viso (Naujos+Keistos)</t>
  </si>
  <si>
    <t>Maksimalus dydis</t>
  </si>
  <si>
    <t>Minimalus dydis</t>
  </si>
  <si>
    <t>Laikas (min.)</t>
  </si>
  <si>
    <t>Iki šiol %</t>
  </si>
  <si>
    <t>Kodavimas</t>
  </si>
  <si>
    <t>Kompiliavimas</t>
  </si>
  <si>
    <t>"Aptarimas"</t>
  </si>
  <si>
    <t>Viso:</t>
  </si>
  <si>
    <t>Apskaičiuotas laikas:</t>
  </si>
  <si>
    <t>Maksimalus laikas:</t>
  </si>
  <si>
    <t>Minimalus laikas:</t>
  </si>
  <si>
    <t>Padaryti defektai</t>
  </si>
  <si>
    <t>Viso kūrimo metu:</t>
  </si>
  <si>
    <t>Pašalinti defektai</t>
  </si>
  <si>
    <t>Po kūrimo</t>
  </si>
  <si>
    <t>Kuriama programa:</t>
  </si>
  <si>
    <t>Programa</t>
  </si>
  <si>
    <t>Dydis (ES)</t>
  </si>
  <si>
    <t>Realizuota funkcija</t>
  </si>
  <si>
    <t>Vertinama funkcija</t>
  </si>
  <si>
    <t>Min</t>
  </si>
  <si>
    <t>Vid.</t>
  </si>
  <si>
    <t>Max</t>
  </si>
  <si>
    <t>readParamsFromFile</t>
  </si>
  <si>
    <t>simulate</t>
  </si>
  <si>
    <t>Bendras įvertinimas</t>
  </si>
  <si>
    <t>Komentarai:</t>
  </si>
  <si>
    <t>Lab3</t>
  </si>
  <si>
    <t>main</t>
  </si>
  <si>
    <t>Pagrindinis simuliacijos ciklas (simulate) + rezultatų pateikimas</t>
  </si>
  <si>
    <t>Parametrų nuskaitymas iš komandinės eilutės ir parametrų valdymas</t>
  </si>
  <si>
    <t>Pagalbinė funkcija nuskaityti parametrus iš failo (paimta iš kolegos)</t>
  </si>
  <si>
    <t>Laikas (min)</t>
  </si>
  <si>
    <t>Funkcijos</t>
  </si>
  <si>
    <t>37min</t>
  </si>
  <si>
    <t>Testuoju kodą</t>
  </si>
  <si>
    <t>33min</t>
  </si>
  <si>
    <t>Taisau klaidas, pridedu naują funkciją teisingai skaitančią parametrus iš failo</t>
  </si>
  <si>
    <t>+44</t>
  </si>
  <si>
    <t>40min</t>
  </si>
  <si>
    <t>readParamsFromFile, simulate, 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</si>
</sst>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4"/>
      <color theme="1"/>
      <name val="Aptos Narrow (Body)"/>
    </font>
    <font>
      <b/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8"/>
      <color rgb="FF000000"/>
      <name val="Tahoma"/>
      <family val="2"/>
    </font>
    <font>
      <b/>
      <sz val="8"/>
      <color rgb="FF000000"/>
      <name val="Tahoma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i/>
      <sz val="8"/>
      <color rgb="FF000000"/>
      <name val="Tahoma"/>
      <family val="2"/>
    </font>
    <font>
      <i/>
      <sz val="8"/>
      <color rgb="FF00000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rgb="FFCCFFFF"/>
        <bgColor rgb="FF000000"/>
      </patternFill>
    </fill>
    <fill>
      <patternFill patternType="solid">
        <fgColor rgb="FFFFFFCC"/>
        <bgColor rgb="FF00000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112">
    <xf numFmtId="0" fontId="0" fillId="0" borderId="0" xfId="0"/>
    <xf numFmtId="49" fontId="0" fillId="0" borderId="0" xfId="0" applyNumberFormat="1"/>
    <xf numFmtId="14" fontId="0" fillId="0" borderId="0" xfId="0" applyNumberFormat="1"/>
    <xf numFmtId="0" fontId="0" fillId="0" borderId="1" xfId="0" applyBorder="1"/>
    <xf numFmtId="49" fontId="0" fillId="0" borderId="1" xfId="0" applyNumberFormat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quotePrefix="1" applyBorder="1" applyAlignment="1">
      <alignment horizontal="left" vertical="center"/>
    </xf>
    <xf numFmtId="0" fontId="2" fillId="0" borderId="0" xfId="0" applyFont="1"/>
    <xf numFmtId="0" fontId="2" fillId="0" borderId="1" xfId="0" applyFont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4" fillId="2" borderId="1" xfId="1" applyFont="1" applyFill="1" applyBorder="1" applyAlignment="1">
      <alignment horizontal="center" wrapText="1"/>
    </xf>
    <xf numFmtId="0" fontId="4" fillId="2" borderId="1" xfId="1" applyFont="1" applyFill="1" applyBorder="1" applyAlignment="1">
      <alignment horizontal="center"/>
    </xf>
    <xf numFmtId="0" fontId="7" fillId="0" borderId="1" xfId="1" applyBorder="1" applyProtection="1">
      <protection locked="0"/>
    </xf>
    <xf numFmtId="0" fontId="6" fillId="0" borderId="1" xfId="1" applyFont="1" applyBorder="1" applyProtection="1">
      <protection locked="0"/>
    </xf>
    <xf numFmtId="0" fontId="8" fillId="2" borderId="0" xfId="1" applyFont="1" applyFill="1" applyAlignment="1">
      <alignment horizontal="center" vertical="top"/>
    </xf>
    <xf numFmtId="0" fontId="7" fillId="2" borderId="0" xfId="1" applyFill="1"/>
    <xf numFmtId="0" fontId="4" fillId="2" borderId="0" xfId="1" applyFont="1" applyFill="1" applyAlignment="1">
      <alignment horizontal="right"/>
    </xf>
    <xf numFmtId="0" fontId="7" fillId="0" borderId="5" xfId="1" applyBorder="1" applyProtection="1">
      <protection locked="0"/>
    </xf>
    <xf numFmtId="14" fontId="7" fillId="0" borderId="1" xfId="1" applyNumberFormat="1" applyBorder="1" applyProtection="1">
      <protection locked="0"/>
    </xf>
    <xf numFmtId="0" fontId="7" fillId="0" borderId="3" xfId="1" applyBorder="1" applyProtection="1">
      <protection locked="0"/>
    </xf>
    <xf numFmtId="0" fontId="7" fillId="0" borderId="4" xfId="1" applyBorder="1"/>
    <xf numFmtId="0" fontId="7" fillId="0" borderId="2" xfId="1" applyBorder="1"/>
    <xf numFmtId="0" fontId="7" fillId="0" borderId="6" xfId="1" applyBorder="1" applyProtection="1">
      <protection locked="0"/>
    </xf>
    <xf numFmtId="0" fontId="5" fillId="0" borderId="3" xfId="1" applyFont="1" applyBorder="1" applyAlignment="1" applyProtection="1">
      <alignment vertical="center" wrapText="1"/>
      <protection locked="0"/>
    </xf>
    <xf numFmtId="0" fontId="5" fillId="0" borderId="4" xfId="1" applyFont="1" applyBorder="1" applyAlignment="1" applyProtection="1">
      <alignment vertical="center" wrapText="1"/>
      <protection locked="0"/>
    </xf>
    <xf numFmtId="0" fontId="5" fillId="0" borderId="2" xfId="1" applyFont="1" applyBorder="1" applyAlignment="1" applyProtection="1">
      <alignment vertical="center" wrapText="1"/>
      <protection locked="0"/>
    </xf>
    <xf numFmtId="0" fontId="4" fillId="2" borderId="1" xfId="1" applyFont="1" applyFill="1" applyBorder="1"/>
    <xf numFmtId="0" fontId="7" fillId="2" borderId="1" xfId="1" applyFill="1" applyBorder="1"/>
    <xf numFmtId="0" fontId="4" fillId="2" borderId="0" xfId="1" applyFont="1" applyFill="1" applyAlignment="1">
      <alignment horizontal="center"/>
    </xf>
    <xf numFmtId="0" fontId="7" fillId="2" borderId="3" xfId="1" applyFill="1" applyBorder="1"/>
    <xf numFmtId="0" fontId="7" fillId="2" borderId="2" xfId="1" applyFill="1" applyBorder="1"/>
    <xf numFmtId="2" fontId="0" fillId="0" borderId="1" xfId="0" applyNumberFormat="1" applyBorder="1" applyProtection="1">
      <protection locked="0"/>
    </xf>
    <xf numFmtId="0" fontId="0" fillId="2" borderId="1" xfId="0" applyFill="1" applyBorder="1" applyProtection="1">
      <protection locked="0"/>
    </xf>
    <xf numFmtId="10" fontId="7" fillId="2" borderId="0" xfId="1" applyNumberFormat="1" applyFill="1"/>
    <xf numFmtId="0" fontId="4" fillId="2" borderId="3" xfId="1" applyFont="1" applyFill="1" applyBorder="1"/>
    <xf numFmtId="0" fontId="7" fillId="2" borderId="4" xfId="1" applyFill="1" applyBorder="1"/>
    <xf numFmtId="0" fontId="0" fillId="0" borderId="1" xfId="0" applyBorder="1" applyProtection="1">
      <protection locked="0"/>
    </xf>
    <xf numFmtId="0" fontId="0" fillId="2" borderId="0" xfId="0" applyFill="1" applyAlignment="1" applyProtection="1">
      <alignment horizontal="center"/>
      <protection locked="0"/>
    </xf>
    <xf numFmtId="10" fontId="0" fillId="2" borderId="0" xfId="0" applyNumberFormat="1" applyFill="1"/>
    <xf numFmtId="0" fontId="4" fillId="2" borderId="1" xfId="0" applyFont="1" applyFill="1" applyBorder="1" applyAlignment="1">
      <alignment horizontal="center"/>
    </xf>
    <xf numFmtId="10" fontId="0" fillId="2" borderId="1" xfId="0" applyNumberFormat="1" applyFill="1" applyBorder="1"/>
    <xf numFmtId="0" fontId="7" fillId="2" borderId="4" xfId="1" applyFill="1" applyBorder="1"/>
    <xf numFmtId="0" fontId="8" fillId="2" borderId="2" xfId="1" applyFont="1" applyFill="1" applyBorder="1" applyAlignment="1">
      <alignment horizontal="right"/>
    </xf>
    <xf numFmtId="0" fontId="0" fillId="2" borderId="1" xfId="0" applyFill="1" applyBorder="1"/>
    <xf numFmtId="0" fontId="9" fillId="2" borderId="4" xfId="1" applyFont="1" applyFill="1" applyBorder="1" applyAlignment="1">
      <alignment horizontal="right"/>
    </xf>
    <xf numFmtId="0" fontId="4" fillId="2" borderId="0" xfId="1" applyFont="1" applyFill="1"/>
    <xf numFmtId="0" fontId="7" fillId="2" borderId="0" xfId="1" applyFill="1"/>
    <xf numFmtId="0" fontId="4" fillId="2" borderId="1" xfId="0" applyFont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0" xfId="0" applyFill="1"/>
    <xf numFmtId="0" fontId="4" fillId="2" borderId="0" xfId="0" applyFont="1" applyFill="1" applyAlignment="1" applyProtection="1">
      <alignment horizontal="center"/>
      <protection locked="0"/>
    </xf>
    <xf numFmtId="0" fontId="8" fillId="2" borderId="0" xfId="1" applyFont="1" applyFill="1" applyAlignment="1">
      <alignment horizontal="left"/>
    </xf>
    <xf numFmtId="0" fontId="4" fillId="2" borderId="0" xfId="1" applyFont="1" applyFill="1" applyAlignment="1">
      <alignment horizontal="right" vertical="top" wrapText="1"/>
    </xf>
    <xf numFmtId="0" fontId="4" fillId="3" borderId="0" xfId="0" applyFont="1" applyFill="1" applyAlignment="1">
      <alignment horizontal="right"/>
    </xf>
    <xf numFmtId="0" fontId="0" fillId="0" borderId="5" xfId="0" applyBorder="1" applyProtection="1">
      <protection locked="0"/>
    </xf>
    <xf numFmtId="0" fontId="7" fillId="0" borderId="5" xfId="0" applyFont="1" applyBorder="1" applyProtection="1">
      <protection locked="0"/>
    </xf>
    <xf numFmtId="0" fontId="7" fillId="3" borderId="0" xfId="0" applyFont="1" applyFill="1"/>
    <xf numFmtId="0" fontId="4" fillId="3" borderId="1" xfId="0" applyFont="1" applyFill="1" applyBorder="1" applyAlignment="1">
      <alignment horizontal="center" wrapText="1"/>
    </xf>
    <xf numFmtId="0" fontId="4" fillId="3" borderId="2" xfId="0" applyFont="1" applyFill="1" applyBorder="1" applyAlignment="1">
      <alignment horizontal="center" wrapText="1"/>
    </xf>
    <xf numFmtId="0" fontId="4" fillId="3" borderId="12" xfId="0" applyFont="1" applyFill="1" applyBorder="1" applyAlignment="1" applyProtection="1">
      <alignment vertical="top" wrapText="1"/>
      <protection locked="0"/>
    </xf>
    <xf numFmtId="0" fontId="8" fillId="3" borderId="0" xfId="0" applyFont="1" applyFill="1"/>
    <xf numFmtId="14" fontId="7" fillId="0" borderId="7" xfId="0" applyNumberFormat="1" applyFont="1" applyBorder="1" applyAlignment="1" applyProtection="1">
      <alignment horizontal="left"/>
      <protection locked="0"/>
    </xf>
    <xf numFmtId="14" fontId="7" fillId="0" borderId="8" xfId="0" applyNumberFormat="1" applyFont="1" applyBorder="1" applyAlignment="1" applyProtection="1">
      <alignment horizontal="left"/>
      <protection locked="0"/>
    </xf>
    <xf numFmtId="14" fontId="7" fillId="0" borderId="9" xfId="0" applyNumberFormat="1" applyFont="1" applyBorder="1" applyAlignment="1" applyProtection="1">
      <alignment horizontal="left"/>
      <protection locked="0"/>
    </xf>
    <xf numFmtId="0" fontId="7" fillId="0" borderId="3" xfId="0" applyFont="1" applyBorder="1" applyProtection="1">
      <protection locked="0"/>
    </xf>
    <xf numFmtId="0" fontId="7" fillId="0" borderId="4" xfId="0" applyFont="1" applyBorder="1" applyProtection="1">
      <protection locked="0"/>
    </xf>
    <xf numFmtId="0" fontId="7" fillId="0" borderId="2" xfId="0" applyFont="1" applyBorder="1" applyProtection="1">
      <protection locked="0"/>
    </xf>
    <xf numFmtId="0" fontId="7" fillId="0" borderId="3" xfId="0" applyFont="1" applyBorder="1" applyAlignment="1" applyProtection="1">
      <alignment horizontal="left"/>
      <protection locked="0"/>
    </xf>
    <xf numFmtId="0" fontId="7" fillId="0" borderId="4" xfId="0" applyFont="1" applyBorder="1" applyAlignment="1" applyProtection="1">
      <alignment horizontal="left"/>
      <protection locked="0"/>
    </xf>
    <xf numFmtId="0" fontId="7" fillId="0" borderId="10" xfId="0" applyFont="1" applyBorder="1" applyAlignment="1" applyProtection="1">
      <alignment horizontal="left"/>
      <protection locked="0"/>
    </xf>
    <xf numFmtId="0" fontId="4" fillId="3" borderId="3" xfId="0" applyFont="1" applyFill="1" applyBorder="1" applyProtection="1">
      <protection locked="0"/>
    </xf>
    <xf numFmtId="0" fontId="4" fillId="3" borderId="4" xfId="0" applyFont="1" applyFill="1" applyBorder="1" applyProtection="1">
      <protection locked="0"/>
    </xf>
    <xf numFmtId="0" fontId="4" fillId="3" borderId="10" xfId="0" applyFont="1" applyFill="1" applyBorder="1" applyProtection="1">
      <protection locked="0"/>
    </xf>
    <xf numFmtId="0" fontId="6" fillId="0" borderId="3" xfId="0" applyFont="1" applyBorder="1" applyAlignment="1">
      <alignment wrapText="1"/>
    </xf>
    <xf numFmtId="0" fontId="6" fillId="0" borderId="4" xfId="0" applyFont="1" applyBorder="1" applyAlignment="1">
      <alignment wrapText="1"/>
    </xf>
    <xf numFmtId="0" fontId="6" fillId="0" borderId="2" xfId="0" applyFont="1" applyBorder="1" applyAlignment="1">
      <alignment wrapText="1"/>
    </xf>
    <xf numFmtId="14" fontId="7" fillId="4" borderId="11" xfId="0" applyNumberFormat="1" applyFont="1" applyFill="1" applyBorder="1" applyAlignment="1" applyProtection="1">
      <alignment horizontal="center" vertical="center"/>
      <protection locked="0"/>
    </xf>
    <xf numFmtId="0" fontId="7" fillId="4" borderId="12" xfId="0" applyFont="1" applyFill="1" applyBorder="1" applyAlignment="1" applyProtection="1">
      <alignment horizontal="center" vertical="center"/>
      <protection locked="0"/>
    </xf>
    <xf numFmtId="0" fontId="7" fillId="4" borderId="12" xfId="0" applyFont="1" applyFill="1" applyBorder="1" applyAlignment="1" applyProtection="1">
      <alignment horizontal="center" vertical="center" wrapText="1"/>
      <protection locked="0"/>
    </xf>
    <xf numFmtId="0" fontId="7" fillId="0" borderId="11" xfId="0" applyFont="1" applyBorder="1" applyAlignment="1" applyProtection="1">
      <alignment horizontal="center" vertical="center" wrapText="1"/>
      <protection locked="0"/>
    </xf>
    <xf numFmtId="0" fontId="7" fillId="0" borderId="12" xfId="0" applyFont="1" applyBorder="1" applyAlignment="1" applyProtection="1">
      <alignment horizontal="center" vertical="center" wrapText="1"/>
      <protection locked="0"/>
    </xf>
    <xf numFmtId="0" fontId="7" fillId="0" borderId="2" xfId="0" applyFont="1" applyBorder="1" applyAlignment="1" applyProtection="1">
      <alignment horizontal="center" vertical="center" wrapText="1"/>
      <protection locked="0"/>
    </xf>
    <xf numFmtId="0" fontId="15" fillId="0" borderId="0" xfId="0" applyFont="1" applyAlignment="1">
      <alignment horizontal="center" vertical="center"/>
    </xf>
    <xf numFmtId="0" fontId="7" fillId="4" borderId="11" xfId="0" applyFont="1" applyFill="1" applyBorder="1" applyAlignment="1" applyProtection="1">
      <alignment horizontal="center" vertical="center"/>
      <protection locked="0"/>
    </xf>
    <xf numFmtId="0" fontId="14" fillId="0" borderId="0" xfId="0" applyFont="1" applyAlignment="1">
      <alignment horizontal="center" vertical="center" wrapText="1"/>
    </xf>
    <xf numFmtId="0" fontId="4" fillId="2" borderId="0" xfId="0" applyFont="1" applyFill="1" applyAlignment="1">
      <alignment horizontal="right"/>
    </xf>
    <xf numFmtId="14" fontId="0" fillId="0" borderId="11" xfId="0" applyNumberFormat="1" applyBorder="1" applyAlignment="1" applyProtection="1">
      <alignment horizontal="left"/>
      <protection locked="0"/>
    </xf>
    <xf numFmtId="0" fontId="0" fillId="0" borderId="1" xfId="0" applyBorder="1" applyProtection="1">
      <protection locked="0"/>
    </xf>
    <xf numFmtId="0" fontId="0" fillId="0" borderId="1" xfId="0" applyBorder="1" applyAlignment="1" applyProtection="1">
      <alignment horizontal="left"/>
      <protection locked="0"/>
    </xf>
    <xf numFmtId="0" fontId="4" fillId="2" borderId="1" xfId="0" applyFont="1" applyFill="1" applyBorder="1" applyAlignment="1">
      <alignment horizontal="center" wrapText="1"/>
    </xf>
    <xf numFmtId="2" fontId="0" fillId="2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vertical="top" wrapText="1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2" fontId="0" fillId="2" borderId="1" xfId="0" applyNumberFormat="1" applyFill="1" applyBorder="1" applyAlignment="1">
      <alignment horizontal="center" vertical="center"/>
    </xf>
    <xf numFmtId="0" fontId="5" fillId="0" borderId="1" xfId="0" applyFont="1" applyBorder="1" applyAlignment="1" applyProtection="1">
      <alignment horizontal="center" vertical="center" wrapText="1"/>
      <protection locked="0"/>
    </xf>
    <xf numFmtId="0" fontId="0" fillId="0" borderId="1" xfId="0" quotePrefix="1" applyBorder="1"/>
    <xf numFmtId="1" fontId="0" fillId="2" borderId="1" xfId="0" applyNumberFormat="1" applyFill="1" applyBorder="1" applyProtection="1">
      <protection locked="0"/>
    </xf>
    <xf numFmtId="0" fontId="7" fillId="0" borderId="4" xfId="1" applyBorder="1" applyProtection="1">
      <protection locked="0"/>
    </xf>
    <xf numFmtId="0" fontId="7" fillId="0" borderId="2" xfId="1" applyBorder="1" applyProtection="1">
      <protection locked="0"/>
    </xf>
    <xf numFmtId="14" fontId="7" fillId="0" borderId="11" xfId="1" applyNumberFormat="1" applyBorder="1" applyProtection="1">
      <protection locked="0"/>
    </xf>
    <xf numFmtId="0" fontId="7" fillId="0" borderId="11" xfId="1" applyBorder="1" applyProtection="1">
      <protection locked="0"/>
    </xf>
    <xf numFmtId="14" fontId="7" fillId="0" borderId="1" xfId="1" applyNumberFormat="1" applyBorder="1"/>
    <xf numFmtId="0" fontId="7" fillId="0" borderId="1" xfId="1" applyBorder="1"/>
    <xf numFmtId="0" fontId="5" fillId="0" borderId="1" xfId="1" applyFont="1" applyBorder="1" applyAlignment="1">
      <alignment vertical="top" wrapText="1"/>
    </xf>
    <xf numFmtId="0" fontId="7" fillId="0" borderId="1" xfId="1" applyBorder="1" applyAlignment="1">
      <alignment vertical="top" wrapText="1"/>
    </xf>
  </cellXfs>
  <cellStyles count="2">
    <cellStyle name="Normal" xfId="0" builtinId="0"/>
    <cellStyle name="Normal 2" xfId="1" xr:uid="{F0DCD829-C9AE-ED40-B0B9-E7EFE55F8DAA}"/>
  </cellStyles>
  <dxfs count="1">
    <dxf>
      <font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D0905-7C25-0049-B421-5C5B72A213AB}">
  <dimension ref="A1:I36"/>
  <sheetViews>
    <sheetView tabSelected="1" zoomScale="136" workbookViewId="0">
      <selection activeCell="F4" sqref="F4"/>
    </sheetView>
  </sheetViews>
  <sheetFormatPr baseColWidth="10" defaultRowHeight="16" x14ac:dyDescent="0.2"/>
  <cols>
    <col min="1" max="1" width="9.83203125" customWidth="1"/>
    <col min="3" max="3" width="15.33203125" bestFit="1" customWidth="1"/>
    <col min="4" max="4" width="25.33203125" customWidth="1"/>
    <col min="5" max="5" width="8.83203125" customWidth="1"/>
    <col min="6" max="6" width="19.6640625" customWidth="1"/>
    <col min="7" max="7" width="37.1640625" customWidth="1"/>
  </cols>
  <sheetData>
    <row r="1" spans="1:9" ht="20" customHeight="1" x14ac:dyDescent="0.25">
      <c r="A1" s="14" t="s">
        <v>1</v>
      </c>
      <c r="B1" s="15"/>
      <c r="C1" s="15"/>
      <c r="D1" s="15"/>
      <c r="E1" s="15"/>
      <c r="F1" s="15"/>
      <c r="G1" s="15"/>
      <c r="H1" s="15"/>
      <c r="I1" s="15"/>
    </row>
    <row r="3" spans="1:9" x14ac:dyDescent="0.2">
      <c r="A3" s="10" t="s">
        <v>15</v>
      </c>
      <c r="B3" s="13">
        <v>1</v>
      </c>
      <c r="C3" s="13"/>
      <c r="H3" s="10" t="s">
        <v>14</v>
      </c>
      <c r="I3" s="2">
        <v>46121</v>
      </c>
    </row>
    <row r="4" spans="1:9" x14ac:dyDescent="0.2">
      <c r="A4" s="10" t="s">
        <v>16</v>
      </c>
      <c r="B4" s="13" t="s">
        <v>0</v>
      </c>
      <c r="C4" s="13"/>
    </row>
    <row r="6" spans="1:9" x14ac:dyDescent="0.2">
      <c r="A6" s="11" t="s">
        <v>2</v>
      </c>
      <c r="B6" s="11" t="s">
        <v>3</v>
      </c>
      <c r="C6" s="11" t="s">
        <v>4</v>
      </c>
      <c r="D6" s="11" t="s">
        <v>5</v>
      </c>
      <c r="E6" s="11" t="s">
        <v>6</v>
      </c>
      <c r="F6" s="11" t="s">
        <v>7</v>
      </c>
      <c r="G6" s="11" t="s">
        <v>8</v>
      </c>
      <c r="H6" s="11" t="s">
        <v>9</v>
      </c>
      <c r="I6" s="11" t="s">
        <v>10</v>
      </c>
    </row>
    <row r="7" spans="1:9" ht="51" x14ac:dyDescent="0.2">
      <c r="A7" s="4" t="s">
        <v>53</v>
      </c>
      <c r="B7" s="5">
        <v>0.79722222222222228</v>
      </c>
      <c r="C7" s="5">
        <v>0.80902777777777779</v>
      </c>
      <c r="D7" s="16" t="s">
        <v>57</v>
      </c>
      <c r="E7" s="6" t="s">
        <v>54</v>
      </c>
      <c r="F7" s="7" t="s">
        <v>11</v>
      </c>
      <c r="G7" s="8" t="s">
        <v>59</v>
      </c>
      <c r="H7" s="3"/>
      <c r="I7" s="6"/>
    </row>
    <row r="8" spans="1:9" ht="51" x14ac:dyDescent="0.2">
      <c r="A8" s="4" t="s">
        <v>53</v>
      </c>
      <c r="B8" s="5">
        <v>0.80902777777777779</v>
      </c>
      <c r="C8" s="5">
        <v>0.83333333333333337</v>
      </c>
      <c r="D8" s="16" t="s">
        <v>57</v>
      </c>
      <c r="E8" s="6" t="s">
        <v>55</v>
      </c>
      <c r="F8" s="7" t="s">
        <v>13</v>
      </c>
      <c r="G8" s="8" t="s">
        <v>60</v>
      </c>
      <c r="H8" s="3"/>
      <c r="I8" s="9" t="s">
        <v>52</v>
      </c>
    </row>
    <row r="9" spans="1:9" ht="34" x14ac:dyDescent="0.2">
      <c r="A9" s="4" t="s">
        <v>53</v>
      </c>
      <c r="B9" s="5">
        <v>0.83333333333333337</v>
      </c>
      <c r="C9" s="5">
        <v>0.84375</v>
      </c>
      <c r="D9" s="16" t="s">
        <v>57</v>
      </c>
      <c r="E9" s="6" t="s">
        <v>56</v>
      </c>
      <c r="F9" s="7" t="s">
        <v>51</v>
      </c>
      <c r="G9" s="8" t="s">
        <v>50</v>
      </c>
      <c r="H9" s="3"/>
      <c r="I9" s="9"/>
    </row>
    <row r="10" spans="1:9" ht="17" x14ac:dyDescent="0.2">
      <c r="A10" s="4" t="s">
        <v>53</v>
      </c>
      <c r="B10" s="5">
        <v>0.84375</v>
      </c>
      <c r="C10" s="5">
        <v>0.84722222222222221</v>
      </c>
      <c r="D10" s="16" t="s">
        <v>57</v>
      </c>
      <c r="E10" s="6" t="s">
        <v>58</v>
      </c>
      <c r="F10" s="7" t="s">
        <v>12</v>
      </c>
      <c r="G10" s="8"/>
      <c r="H10" s="3"/>
      <c r="I10" s="6"/>
    </row>
    <row r="11" spans="1:9" ht="17" x14ac:dyDescent="0.2">
      <c r="A11" s="4" t="s">
        <v>61</v>
      </c>
      <c r="B11" s="5">
        <v>0.5625</v>
      </c>
      <c r="C11" s="5">
        <v>0.57499999999999996</v>
      </c>
      <c r="D11" s="16" t="s">
        <v>57</v>
      </c>
      <c r="E11" s="6" t="s">
        <v>62</v>
      </c>
      <c r="F11" s="7" t="s">
        <v>51</v>
      </c>
      <c r="G11" s="8" t="s">
        <v>72</v>
      </c>
      <c r="H11" s="3"/>
      <c r="I11" s="9"/>
    </row>
    <row r="12" spans="1:9" ht="36" customHeight="1" x14ac:dyDescent="0.2">
      <c r="A12" s="4" t="s">
        <v>61</v>
      </c>
      <c r="B12" s="5">
        <v>0.57499999999999996</v>
      </c>
      <c r="C12" s="5">
        <v>0.63888888888888884</v>
      </c>
      <c r="D12" s="8" t="s">
        <v>63</v>
      </c>
      <c r="E12" s="6" t="s">
        <v>65</v>
      </c>
      <c r="F12" s="7" t="s">
        <v>13</v>
      </c>
      <c r="G12" s="8" t="s">
        <v>66</v>
      </c>
      <c r="H12" s="3"/>
      <c r="I12" s="9" t="s">
        <v>69</v>
      </c>
    </row>
    <row r="13" spans="1:9" ht="17" x14ac:dyDescent="0.2">
      <c r="A13" s="4" t="s">
        <v>61</v>
      </c>
      <c r="B13" s="5">
        <v>0.71597222222222223</v>
      </c>
      <c r="C13" s="5">
        <v>0.79722222222222228</v>
      </c>
      <c r="D13" s="6" t="s">
        <v>67</v>
      </c>
      <c r="E13" s="6" t="s">
        <v>68</v>
      </c>
      <c r="F13" s="7" t="s">
        <v>13</v>
      </c>
      <c r="G13" s="8" t="s">
        <v>71</v>
      </c>
      <c r="H13" s="3"/>
      <c r="I13" s="9" t="s">
        <v>70</v>
      </c>
    </row>
    <row r="14" spans="1:9" ht="17" x14ac:dyDescent="0.2">
      <c r="A14" s="4" t="s">
        <v>61</v>
      </c>
      <c r="B14" s="5">
        <v>0.79722222222222228</v>
      </c>
      <c r="C14" s="5">
        <v>0.80069444444444449</v>
      </c>
      <c r="D14" s="16" t="s">
        <v>57</v>
      </c>
      <c r="E14" s="6" t="s">
        <v>58</v>
      </c>
      <c r="F14" s="7" t="s">
        <v>12</v>
      </c>
      <c r="G14" s="8"/>
      <c r="H14" s="3"/>
      <c r="I14" s="9"/>
    </row>
    <row r="15" spans="1:9" ht="34" x14ac:dyDescent="0.2">
      <c r="A15" s="4" t="s">
        <v>73</v>
      </c>
      <c r="B15" s="5">
        <v>0.58125000000000004</v>
      </c>
      <c r="C15" s="5">
        <v>0.59930555555555554</v>
      </c>
      <c r="D15" s="16" t="s">
        <v>57</v>
      </c>
      <c r="E15" s="6" t="s">
        <v>74</v>
      </c>
      <c r="F15" s="7" t="s">
        <v>75</v>
      </c>
      <c r="G15" s="8" t="s">
        <v>76</v>
      </c>
      <c r="H15" s="3"/>
      <c r="I15" s="9"/>
    </row>
    <row r="16" spans="1:9" ht="85" x14ac:dyDescent="0.2">
      <c r="A16" s="4" t="s">
        <v>73</v>
      </c>
      <c r="B16" s="5">
        <v>0.59930555555555554</v>
      </c>
      <c r="C16" s="5">
        <v>0.64444444444444449</v>
      </c>
      <c r="D16" s="16" t="s">
        <v>57</v>
      </c>
      <c r="E16" s="6" t="s">
        <v>64</v>
      </c>
      <c r="F16" s="7" t="s">
        <v>13</v>
      </c>
      <c r="G16" s="8" t="s">
        <v>77</v>
      </c>
      <c r="H16" s="3"/>
      <c r="I16" s="9" t="s">
        <v>78</v>
      </c>
    </row>
    <row r="17" spans="1:9" ht="17" x14ac:dyDescent="0.2">
      <c r="A17" s="4" t="s">
        <v>73</v>
      </c>
      <c r="B17" s="5">
        <v>0.64444444444444449</v>
      </c>
      <c r="C17" s="5">
        <v>0.6479166666666667</v>
      </c>
      <c r="D17" s="16" t="s">
        <v>57</v>
      </c>
      <c r="E17" s="6" t="s">
        <v>58</v>
      </c>
      <c r="F17" s="7" t="s">
        <v>12</v>
      </c>
      <c r="G17" s="8"/>
      <c r="H17" s="3"/>
      <c r="I17" s="9"/>
    </row>
    <row r="18" spans="1:9" ht="17" x14ac:dyDescent="0.2">
      <c r="A18" s="4" t="s">
        <v>73</v>
      </c>
      <c r="B18" s="5">
        <v>0.77083333333333337</v>
      </c>
      <c r="C18" s="5">
        <v>0.79652777777777772</v>
      </c>
      <c r="D18" s="16" t="s">
        <v>57</v>
      </c>
      <c r="E18" s="6" t="s">
        <v>129</v>
      </c>
      <c r="F18" s="7" t="s">
        <v>18</v>
      </c>
      <c r="G18" s="8" t="s">
        <v>130</v>
      </c>
      <c r="H18" s="3"/>
      <c r="I18" s="6"/>
    </row>
    <row r="19" spans="1:9" ht="34" x14ac:dyDescent="0.2">
      <c r="A19" s="4" t="s">
        <v>73</v>
      </c>
      <c r="B19" s="5">
        <v>0.79652777777777772</v>
      </c>
      <c r="C19" s="5">
        <v>0.81944444444444442</v>
      </c>
      <c r="D19" s="16" t="s">
        <v>57</v>
      </c>
      <c r="E19" s="6" t="s">
        <v>131</v>
      </c>
      <c r="F19" s="7" t="s">
        <v>13</v>
      </c>
      <c r="G19" s="8" t="s">
        <v>132</v>
      </c>
      <c r="H19" s="3"/>
      <c r="I19" s="102" t="s">
        <v>133</v>
      </c>
    </row>
    <row r="20" spans="1:9" ht="17" x14ac:dyDescent="0.2">
      <c r="A20" s="4" t="s">
        <v>73</v>
      </c>
      <c r="B20" s="5">
        <v>0.81944444444444442</v>
      </c>
      <c r="C20" s="5">
        <v>0.84722222222222221</v>
      </c>
      <c r="D20" s="16" t="s">
        <v>57</v>
      </c>
      <c r="E20" s="6" t="s">
        <v>134</v>
      </c>
      <c r="F20" s="7" t="s">
        <v>12</v>
      </c>
      <c r="G20" s="3"/>
      <c r="H20" s="3"/>
      <c r="I20" s="3"/>
    </row>
    <row r="21" spans="1:9" x14ac:dyDescent="0.2">
      <c r="A21" s="1"/>
    </row>
    <row r="22" spans="1:9" x14ac:dyDescent="0.2">
      <c r="A22" s="1"/>
    </row>
    <row r="23" spans="1:9" x14ac:dyDescent="0.2">
      <c r="A23" s="1"/>
    </row>
    <row r="24" spans="1:9" x14ac:dyDescent="0.2">
      <c r="A24" s="1"/>
    </row>
    <row r="25" spans="1:9" x14ac:dyDescent="0.2">
      <c r="A25" s="1"/>
    </row>
    <row r="26" spans="1:9" x14ac:dyDescent="0.2">
      <c r="A26" s="1"/>
    </row>
    <row r="27" spans="1:9" x14ac:dyDescent="0.2">
      <c r="A27" s="1"/>
    </row>
    <row r="28" spans="1:9" x14ac:dyDescent="0.2">
      <c r="A28" s="1"/>
    </row>
    <row r="29" spans="1:9" x14ac:dyDescent="0.2">
      <c r="A29" s="1"/>
    </row>
    <row r="30" spans="1:9" x14ac:dyDescent="0.2">
      <c r="A30" s="1"/>
    </row>
    <row r="31" spans="1:9" x14ac:dyDescent="0.2">
      <c r="A31" s="1"/>
    </row>
    <row r="32" spans="1:9" x14ac:dyDescent="0.2">
      <c r="A32" s="1"/>
    </row>
    <row r="33" spans="1:1" x14ac:dyDescent="0.2">
      <c r="A33" s="1"/>
    </row>
    <row r="34" spans="1:1" x14ac:dyDescent="0.2">
      <c r="A34" s="1"/>
    </row>
    <row r="35" spans="1:1" x14ac:dyDescent="0.2">
      <c r="A35" s="1"/>
    </row>
    <row r="36" spans="1:1" x14ac:dyDescent="0.2">
      <c r="A36" s="1"/>
    </row>
  </sheetData>
  <mergeCells count="3">
    <mergeCell ref="B4:C4"/>
    <mergeCell ref="B3:C3"/>
    <mergeCell ref="A1:I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2D914-4AF3-5F4B-B098-523DF90F5CEF}">
  <dimension ref="A1:E14"/>
  <sheetViews>
    <sheetView zoomScale="116" workbookViewId="0">
      <selection activeCell="E17" sqref="E17"/>
    </sheetView>
  </sheetViews>
  <sheetFormatPr baseColWidth="10" defaultRowHeight="16" x14ac:dyDescent="0.2"/>
  <cols>
    <col min="1" max="1" width="15" customWidth="1"/>
    <col min="2" max="2" width="14.5" customWidth="1"/>
    <col min="3" max="3" width="9.6640625" bestFit="1" customWidth="1"/>
    <col min="4" max="4" width="18.83203125" bestFit="1" customWidth="1"/>
    <col min="5" max="5" width="27.6640625" customWidth="1"/>
  </cols>
  <sheetData>
    <row r="1" spans="1:5" x14ac:dyDescent="0.2">
      <c r="A1" s="92" t="s">
        <v>15</v>
      </c>
      <c r="B1" s="61">
        <v>1</v>
      </c>
      <c r="C1" s="56"/>
      <c r="D1" s="92" t="s">
        <v>14</v>
      </c>
      <c r="E1" s="93">
        <v>46121</v>
      </c>
    </row>
    <row r="2" spans="1:5" x14ac:dyDescent="0.2">
      <c r="A2" s="92" t="s">
        <v>80</v>
      </c>
      <c r="B2" s="94" t="s">
        <v>0</v>
      </c>
      <c r="C2" s="94"/>
      <c r="D2" s="94"/>
      <c r="E2" s="94"/>
    </row>
    <row r="3" spans="1:5" x14ac:dyDescent="0.2">
      <c r="A3" s="56"/>
      <c r="B3" s="92"/>
      <c r="C3" s="56"/>
      <c r="D3" s="92" t="s">
        <v>83</v>
      </c>
      <c r="E3" s="95" t="s">
        <v>84</v>
      </c>
    </row>
    <row r="4" spans="1:5" x14ac:dyDescent="0.2">
      <c r="A4" s="56"/>
      <c r="B4" s="56"/>
      <c r="C4" s="56"/>
      <c r="D4" s="56"/>
      <c r="E4" s="56"/>
    </row>
    <row r="5" spans="1:5" x14ac:dyDescent="0.2">
      <c r="A5" s="96" t="s">
        <v>111</v>
      </c>
      <c r="B5" s="96" t="s">
        <v>127</v>
      </c>
      <c r="C5" s="96" t="s">
        <v>112</v>
      </c>
      <c r="D5" s="96" t="s">
        <v>91</v>
      </c>
      <c r="E5" s="96" t="s">
        <v>128</v>
      </c>
    </row>
    <row r="6" spans="1:5" x14ac:dyDescent="0.2">
      <c r="A6" s="16" t="s">
        <v>82</v>
      </c>
      <c r="B6" s="12">
        <v>485</v>
      </c>
      <c r="C6" s="99">
        <v>305</v>
      </c>
      <c r="D6" s="100">
        <f>B6/C6</f>
        <v>1.5901639344262295</v>
      </c>
      <c r="E6" s="101" t="s">
        <v>135</v>
      </c>
    </row>
    <row r="7" spans="1:5" x14ac:dyDescent="0.2">
      <c r="A7" s="43"/>
      <c r="B7" s="43"/>
      <c r="C7" s="43"/>
      <c r="D7" s="97"/>
      <c r="E7" s="98"/>
    </row>
    <row r="8" spans="1:5" x14ac:dyDescent="0.2">
      <c r="A8" s="43"/>
      <c r="B8" s="43"/>
      <c r="C8" s="43"/>
      <c r="D8" s="97"/>
      <c r="E8" s="98"/>
    </row>
    <row r="9" spans="1:5" x14ac:dyDescent="0.2">
      <c r="A9" s="43"/>
      <c r="B9" s="43"/>
      <c r="C9" s="43"/>
      <c r="D9" s="97"/>
      <c r="E9" s="98"/>
    </row>
    <row r="10" spans="1:5" x14ac:dyDescent="0.2">
      <c r="A10" s="43"/>
      <c r="B10" s="43"/>
      <c r="C10" s="43"/>
      <c r="D10" s="97"/>
      <c r="E10" s="98"/>
    </row>
    <row r="11" spans="1:5" x14ac:dyDescent="0.2">
      <c r="A11" s="43"/>
      <c r="B11" s="43"/>
      <c r="C11" s="43"/>
      <c r="D11" s="97"/>
      <c r="E11" s="98"/>
    </row>
    <row r="12" spans="1:5" x14ac:dyDescent="0.2">
      <c r="A12" s="43"/>
      <c r="B12" s="43"/>
      <c r="C12" s="43"/>
      <c r="D12" s="97"/>
      <c r="E12" s="98"/>
    </row>
    <row r="13" spans="1:5" x14ac:dyDescent="0.2">
      <c r="A13" s="43"/>
      <c r="B13" s="43"/>
      <c r="C13" s="43"/>
      <c r="D13" s="97"/>
      <c r="E13" s="98"/>
    </row>
    <row r="14" spans="1:5" x14ac:dyDescent="0.2">
      <c r="A14" s="56"/>
      <c r="B14" s="56"/>
      <c r="C14" s="56"/>
      <c r="D14" s="56"/>
      <c r="E14" s="56"/>
    </row>
  </sheetData>
  <mergeCells count="1">
    <mergeCell ref="B2:E2"/>
  </mergeCells>
  <dataValidations count="2">
    <dataValidation allowBlank="1" showErrorMessage="1" errorTitle="Klaida" error="Fazę reikia pasirinkti!" promptTitle="Pasirinkite" prompt="fazę" sqref="D6:D13" xr:uid="{78119FE8-BF8E-FD46-B5B4-A9BE3D056EDC}"/>
    <dataValidation allowBlank="1" showInputMessage="1" showErrorMessage="1" errorTitle="Klaida" error="Fazę reikia pasirinkti!" promptTitle="Pasirinkite" prompt="fazę" sqref="D14" xr:uid="{BBB68575-C7DC-EC4E-B280-5FF11A798B20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EDE0A-FA69-F946-985F-CFC9622EC90F}">
  <dimension ref="A1:G31"/>
  <sheetViews>
    <sheetView workbookViewId="0">
      <selection activeCell="E26" sqref="E26"/>
    </sheetView>
  </sheetViews>
  <sheetFormatPr baseColWidth="10" defaultRowHeight="16" x14ac:dyDescent="0.2"/>
  <cols>
    <col min="1" max="1" width="17" bestFit="1" customWidth="1"/>
    <col min="2" max="2" width="9.6640625" bestFit="1" customWidth="1"/>
    <col min="3" max="3" width="10.5" bestFit="1" customWidth="1"/>
    <col min="4" max="4" width="32.33203125" bestFit="1" customWidth="1"/>
    <col min="5" max="5" width="9.5" customWidth="1"/>
  </cols>
  <sheetData>
    <row r="1" spans="1:7" x14ac:dyDescent="0.2">
      <c r="A1" s="60" t="s">
        <v>15</v>
      </c>
      <c r="B1" s="62">
        <v>1</v>
      </c>
      <c r="C1" s="63"/>
      <c r="D1" s="60" t="s">
        <v>14</v>
      </c>
      <c r="E1" s="68">
        <v>46115</v>
      </c>
      <c r="F1" s="69"/>
      <c r="G1" s="70"/>
    </row>
    <row r="2" spans="1:7" x14ac:dyDescent="0.2">
      <c r="A2" s="60" t="s">
        <v>80</v>
      </c>
      <c r="B2" s="71" t="s">
        <v>0</v>
      </c>
      <c r="C2" s="72"/>
      <c r="D2" s="72"/>
      <c r="E2" s="72"/>
      <c r="F2" s="72"/>
      <c r="G2" s="73"/>
    </row>
    <row r="3" spans="1:7" x14ac:dyDescent="0.2">
      <c r="A3" s="60" t="s">
        <v>110</v>
      </c>
      <c r="B3" s="71" t="s">
        <v>122</v>
      </c>
      <c r="C3" s="73"/>
      <c r="D3" s="60" t="s">
        <v>83</v>
      </c>
      <c r="E3" s="74" t="s">
        <v>84</v>
      </c>
      <c r="F3" s="75"/>
      <c r="G3" s="76"/>
    </row>
    <row r="4" spans="1:7" x14ac:dyDescent="0.2">
      <c r="A4" s="63"/>
      <c r="B4" s="63"/>
      <c r="C4" s="63"/>
      <c r="D4" s="63"/>
      <c r="E4" s="63"/>
      <c r="F4" s="63"/>
      <c r="G4" s="63"/>
    </row>
    <row r="5" spans="1:7" ht="29" x14ac:dyDescent="0.2">
      <c r="A5" s="64" t="s">
        <v>111</v>
      </c>
      <c r="B5" s="65" t="s">
        <v>112</v>
      </c>
      <c r="C5" s="65" t="s">
        <v>113</v>
      </c>
      <c r="D5" s="65" t="s">
        <v>114</v>
      </c>
      <c r="E5" s="65" t="s">
        <v>115</v>
      </c>
      <c r="F5" s="65" t="s">
        <v>116</v>
      </c>
      <c r="G5" s="65" t="s">
        <v>117</v>
      </c>
    </row>
    <row r="6" spans="1:7" ht="32" x14ac:dyDescent="0.2">
      <c r="A6" s="83" t="s">
        <v>122</v>
      </c>
      <c r="B6" s="84">
        <v>19</v>
      </c>
      <c r="C6" s="85" t="s">
        <v>118</v>
      </c>
      <c r="D6" s="91" t="s">
        <v>126</v>
      </c>
      <c r="E6" s="86">
        <v>10</v>
      </c>
      <c r="F6" s="87">
        <v>20</v>
      </c>
      <c r="G6" s="87">
        <v>30</v>
      </c>
    </row>
    <row r="7" spans="1:7" ht="47" customHeight="1" x14ac:dyDescent="0.2">
      <c r="A7" s="83" t="s">
        <v>122</v>
      </c>
      <c r="B7" s="84">
        <v>93</v>
      </c>
      <c r="C7" s="85" t="s">
        <v>119</v>
      </c>
      <c r="D7" s="88" t="s">
        <v>124</v>
      </c>
      <c r="E7" s="87">
        <v>80</v>
      </c>
      <c r="F7" s="87">
        <v>100</v>
      </c>
      <c r="G7" s="87">
        <v>120</v>
      </c>
    </row>
    <row r="8" spans="1:7" ht="29" customHeight="1" x14ac:dyDescent="0.2">
      <c r="A8" s="83" t="s">
        <v>122</v>
      </c>
      <c r="B8" s="84">
        <v>35</v>
      </c>
      <c r="C8" s="85" t="s">
        <v>123</v>
      </c>
      <c r="D8" s="87" t="s">
        <v>125</v>
      </c>
      <c r="E8" s="87">
        <v>20</v>
      </c>
      <c r="F8" s="87">
        <v>35</v>
      </c>
      <c r="G8" s="87">
        <v>50</v>
      </c>
    </row>
    <row r="9" spans="1:7" x14ac:dyDescent="0.2">
      <c r="A9" s="83"/>
      <c r="B9" s="84"/>
      <c r="C9" s="85"/>
      <c r="D9" s="89"/>
      <c r="E9" s="86"/>
      <c r="F9" s="87"/>
      <c r="G9" s="87"/>
    </row>
    <row r="10" spans="1:7" x14ac:dyDescent="0.2">
      <c r="A10" s="83"/>
      <c r="B10" s="84"/>
      <c r="C10" s="85"/>
      <c r="D10" s="88"/>
      <c r="E10" s="87"/>
      <c r="F10" s="87"/>
      <c r="G10" s="87"/>
    </row>
    <row r="11" spans="1:7" x14ac:dyDescent="0.2">
      <c r="A11" s="90"/>
      <c r="B11" s="84"/>
      <c r="C11" s="85"/>
      <c r="D11" s="87"/>
      <c r="E11" s="87"/>
      <c r="F11" s="87"/>
      <c r="G11" s="87"/>
    </row>
    <row r="12" spans="1:7" x14ac:dyDescent="0.2">
      <c r="A12" s="90"/>
      <c r="B12" s="84"/>
      <c r="C12" s="85"/>
      <c r="D12" s="87"/>
      <c r="E12" s="87"/>
      <c r="F12" s="87"/>
      <c r="G12" s="87"/>
    </row>
    <row r="13" spans="1:7" x14ac:dyDescent="0.2">
      <c r="A13" s="90"/>
      <c r="B13" s="84"/>
      <c r="C13" s="85"/>
      <c r="D13" s="87"/>
      <c r="E13" s="87"/>
      <c r="F13" s="87"/>
      <c r="G13" s="87"/>
    </row>
    <row r="14" spans="1:7" x14ac:dyDescent="0.2">
      <c r="A14" s="90"/>
      <c r="B14" s="84"/>
      <c r="C14" s="85"/>
      <c r="D14" s="87"/>
      <c r="E14" s="87"/>
      <c r="F14" s="87"/>
      <c r="G14" s="87"/>
    </row>
    <row r="15" spans="1:7" x14ac:dyDescent="0.2">
      <c r="A15" s="90"/>
      <c r="B15" s="84"/>
      <c r="C15" s="85"/>
      <c r="D15" s="87"/>
      <c r="E15" s="87"/>
      <c r="F15" s="87"/>
      <c r="G15" s="87"/>
    </row>
    <row r="16" spans="1:7" x14ac:dyDescent="0.2">
      <c r="A16" s="90"/>
      <c r="B16" s="84"/>
      <c r="C16" s="85"/>
      <c r="D16" s="87"/>
      <c r="E16" s="87"/>
      <c r="F16" s="87"/>
      <c r="G16" s="87"/>
    </row>
    <row r="17" spans="1:7" x14ac:dyDescent="0.2">
      <c r="A17" s="90"/>
      <c r="B17" s="84"/>
      <c r="C17" s="85"/>
      <c r="D17" s="87"/>
      <c r="E17" s="87"/>
      <c r="F17" s="87"/>
      <c r="G17" s="87"/>
    </row>
    <row r="18" spans="1:7" x14ac:dyDescent="0.2">
      <c r="A18" s="90"/>
      <c r="B18" s="84"/>
      <c r="C18" s="85"/>
      <c r="D18" s="87"/>
      <c r="E18" s="87"/>
      <c r="F18" s="87"/>
      <c r="G18" s="87"/>
    </row>
    <row r="19" spans="1:7" x14ac:dyDescent="0.2">
      <c r="A19" s="90"/>
      <c r="B19" s="84"/>
      <c r="C19" s="85"/>
      <c r="D19" s="87"/>
      <c r="E19" s="87"/>
      <c r="F19" s="87"/>
      <c r="G19" s="87"/>
    </row>
    <row r="20" spans="1:7" x14ac:dyDescent="0.2">
      <c r="A20" s="90"/>
      <c r="B20" s="84"/>
      <c r="C20" s="85"/>
      <c r="D20" s="87"/>
      <c r="E20" s="87"/>
      <c r="F20" s="87"/>
      <c r="G20" s="87"/>
    </row>
    <row r="21" spans="1:7" x14ac:dyDescent="0.2">
      <c r="A21" s="90"/>
      <c r="B21" s="84"/>
      <c r="C21" s="85"/>
      <c r="D21" s="87"/>
      <c r="E21" s="87"/>
      <c r="F21" s="87"/>
      <c r="G21" s="87"/>
    </row>
    <row r="22" spans="1:7" x14ac:dyDescent="0.2">
      <c r="A22" s="90"/>
      <c r="B22" s="84"/>
      <c r="C22" s="85"/>
      <c r="D22" s="87"/>
      <c r="E22" s="87"/>
      <c r="F22" s="87"/>
      <c r="G22" s="87"/>
    </row>
    <row r="23" spans="1:7" x14ac:dyDescent="0.2">
      <c r="A23" s="90"/>
      <c r="B23" s="84"/>
      <c r="C23" s="85"/>
      <c r="D23" s="87"/>
      <c r="E23" s="87"/>
      <c r="F23" s="87"/>
      <c r="G23" s="87"/>
    </row>
    <row r="24" spans="1:7" x14ac:dyDescent="0.2">
      <c r="A24" s="90"/>
      <c r="B24" s="84"/>
      <c r="C24" s="85"/>
      <c r="D24" s="87"/>
      <c r="E24" s="87"/>
      <c r="F24" s="87"/>
      <c r="G24" s="87"/>
    </row>
    <row r="25" spans="1:7" x14ac:dyDescent="0.2">
      <c r="A25" s="90"/>
      <c r="B25" s="84"/>
      <c r="C25" s="85"/>
      <c r="D25" s="87"/>
      <c r="E25" s="87"/>
      <c r="F25" s="87"/>
      <c r="G25" s="87"/>
    </row>
    <row r="26" spans="1:7" x14ac:dyDescent="0.2">
      <c r="A26" s="90"/>
      <c r="B26" s="84"/>
      <c r="C26" s="85"/>
      <c r="D26" s="87"/>
      <c r="E26" s="87"/>
      <c r="F26" s="87"/>
      <c r="G26" s="87"/>
    </row>
    <row r="27" spans="1:7" x14ac:dyDescent="0.2">
      <c r="A27" s="90"/>
      <c r="B27" s="84"/>
      <c r="C27" s="85"/>
      <c r="D27" s="87"/>
      <c r="E27" s="87"/>
      <c r="F27" s="87"/>
      <c r="G27" s="87"/>
    </row>
    <row r="28" spans="1:7" x14ac:dyDescent="0.2">
      <c r="A28" s="90"/>
      <c r="B28" s="84"/>
      <c r="C28" s="85"/>
      <c r="D28" s="87"/>
      <c r="E28" s="87"/>
      <c r="F28" s="87"/>
      <c r="G28" s="87"/>
    </row>
    <row r="29" spans="1:7" x14ac:dyDescent="0.2">
      <c r="A29" s="77" t="s">
        <v>120</v>
      </c>
      <c r="B29" s="78"/>
      <c r="C29" s="78"/>
      <c r="D29" s="79"/>
      <c r="E29" s="66">
        <f>SUM(E6:E8)</f>
        <v>110</v>
      </c>
      <c r="F29" s="66">
        <f>SUM(F6:F8)</f>
        <v>155</v>
      </c>
      <c r="G29" s="66">
        <f>SUM(G6:G8)</f>
        <v>200</v>
      </c>
    </row>
    <row r="30" spans="1:7" x14ac:dyDescent="0.2">
      <c r="A30" s="67" t="s">
        <v>121</v>
      </c>
      <c r="B30" s="63"/>
      <c r="C30" s="63"/>
      <c r="D30" s="63"/>
      <c r="E30" s="63"/>
      <c r="F30" s="63"/>
      <c r="G30" s="63"/>
    </row>
    <row r="31" spans="1:7" x14ac:dyDescent="0.2">
      <c r="A31" s="80" t="s">
        <v>57</v>
      </c>
      <c r="B31" s="81"/>
      <c r="C31" s="81"/>
      <c r="D31" s="81"/>
      <c r="E31" s="81"/>
      <c r="F31" s="81"/>
      <c r="G31" s="82"/>
    </row>
  </sheetData>
  <mergeCells count="6">
    <mergeCell ref="E1:G1"/>
    <mergeCell ref="B2:G2"/>
    <mergeCell ref="B3:C3"/>
    <mergeCell ref="E3:G3"/>
    <mergeCell ref="A29:D29"/>
    <mergeCell ref="A31:G3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59DBE-5419-4045-8320-F64BC21C4112}">
  <dimension ref="A1:G42"/>
  <sheetViews>
    <sheetView topLeftCell="A4" zoomScale="125" workbookViewId="0">
      <selection activeCell="C3" sqref="C3:F3"/>
    </sheetView>
  </sheetViews>
  <sheetFormatPr baseColWidth="10" defaultRowHeight="16" x14ac:dyDescent="0.2"/>
  <cols>
    <col min="2" max="2" width="18.1640625" bestFit="1" customWidth="1"/>
    <col min="3" max="3" width="12.1640625" bestFit="1" customWidth="1"/>
    <col min="4" max="4" width="13.1640625" bestFit="1" customWidth="1"/>
    <col min="5" max="5" width="19" bestFit="1" customWidth="1"/>
    <col min="6" max="6" width="8.33203125" bestFit="1" customWidth="1"/>
    <col min="7" max="7" width="5.5" customWidth="1"/>
  </cols>
  <sheetData>
    <row r="1" spans="1:7" x14ac:dyDescent="0.2">
      <c r="A1" s="21" t="s">
        <v>79</v>
      </c>
      <c r="B1" s="21"/>
      <c r="C1" s="21"/>
      <c r="D1" s="21"/>
      <c r="E1" s="21"/>
      <c r="F1" s="21"/>
      <c r="G1" s="21"/>
    </row>
    <row r="2" spans="1:7" x14ac:dyDescent="0.2">
      <c r="A2" s="22"/>
      <c r="B2" s="23" t="s">
        <v>15</v>
      </c>
      <c r="C2" s="24">
        <v>1</v>
      </c>
      <c r="D2" s="23" t="s">
        <v>14</v>
      </c>
      <c r="E2" s="25">
        <v>46121</v>
      </c>
      <c r="F2" s="23"/>
      <c r="G2" s="22"/>
    </row>
    <row r="3" spans="1:7" x14ac:dyDescent="0.2">
      <c r="A3" s="22"/>
      <c r="B3" s="23" t="s">
        <v>80</v>
      </c>
      <c r="C3" s="26" t="s">
        <v>0</v>
      </c>
      <c r="D3" s="27"/>
      <c r="E3" s="27"/>
      <c r="F3" s="28"/>
      <c r="G3" s="22"/>
    </row>
    <row r="4" spans="1:7" x14ac:dyDescent="0.2">
      <c r="A4" s="22"/>
      <c r="B4" s="23" t="s">
        <v>81</v>
      </c>
      <c r="C4" s="29" t="s">
        <v>122</v>
      </c>
      <c r="D4" s="22"/>
      <c r="E4" s="23" t="s">
        <v>83</v>
      </c>
      <c r="F4" s="29" t="s">
        <v>84</v>
      </c>
      <c r="G4" s="22"/>
    </row>
    <row r="5" spans="1:7" ht="44" customHeight="1" x14ac:dyDescent="0.2">
      <c r="A5" s="22"/>
      <c r="B5" s="59" t="s">
        <v>85</v>
      </c>
      <c r="C5" s="30" t="s">
        <v>86</v>
      </c>
      <c r="D5" s="31"/>
      <c r="E5" s="31"/>
      <c r="F5" s="32"/>
      <c r="G5" s="22"/>
    </row>
    <row r="6" spans="1:7" x14ac:dyDescent="0.2">
      <c r="A6" s="22"/>
      <c r="B6" s="22"/>
      <c r="C6" s="22"/>
      <c r="D6" s="22"/>
      <c r="E6" s="22"/>
      <c r="F6" s="22"/>
      <c r="G6" s="22"/>
    </row>
    <row r="7" spans="1:7" x14ac:dyDescent="0.2">
      <c r="A7" s="33" t="s">
        <v>87</v>
      </c>
      <c r="B7" s="34"/>
      <c r="C7" s="18" t="s">
        <v>88</v>
      </c>
      <c r="D7" s="18" t="s">
        <v>89</v>
      </c>
      <c r="E7" s="18" t="s">
        <v>90</v>
      </c>
      <c r="F7" s="35"/>
      <c r="G7" s="22"/>
    </row>
    <row r="8" spans="1:7" x14ac:dyDescent="0.2">
      <c r="A8" s="36"/>
      <c r="B8" s="37" t="s">
        <v>91</v>
      </c>
      <c r="C8" s="38">
        <v>2</v>
      </c>
      <c r="D8" s="39">
        <v>1.59</v>
      </c>
      <c r="E8" s="39">
        <v>1.59</v>
      </c>
      <c r="F8" s="40"/>
      <c r="G8" s="22"/>
    </row>
    <row r="9" spans="1:7" x14ac:dyDescent="0.2">
      <c r="A9" s="36"/>
      <c r="B9" s="37" t="s">
        <v>92</v>
      </c>
      <c r="C9" s="39">
        <f>60/C8</f>
        <v>30</v>
      </c>
      <c r="D9" s="103">
        <f>60/D8</f>
        <v>37.735849056603769</v>
      </c>
      <c r="E9" s="103">
        <f>60/E8</f>
        <v>37.735849056603769</v>
      </c>
      <c r="F9" s="40"/>
      <c r="G9" s="22"/>
    </row>
    <row r="10" spans="1:7" x14ac:dyDescent="0.2">
      <c r="A10" s="41" t="s">
        <v>93</v>
      </c>
      <c r="B10" s="42"/>
      <c r="C10" s="27"/>
      <c r="D10" s="27"/>
      <c r="E10" s="28"/>
      <c r="F10" s="35"/>
      <c r="G10" s="22"/>
    </row>
    <row r="11" spans="1:7" x14ac:dyDescent="0.2">
      <c r="A11" s="36"/>
      <c r="B11" s="37" t="s">
        <v>94</v>
      </c>
      <c r="C11" s="43">
        <v>400</v>
      </c>
      <c r="D11" s="19">
        <v>305</v>
      </c>
      <c r="E11" s="19">
        <f>D11</f>
        <v>305</v>
      </c>
      <c r="F11" s="40"/>
      <c r="G11" s="22"/>
    </row>
    <row r="12" spans="1:7" x14ac:dyDescent="0.2">
      <c r="A12" s="36"/>
      <c r="B12" s="37" t="s">
        <v>95</v>
      </c>
      <c r="C12" s="43">
        <v>500</v>
      </c>
      <c r="D12" s="44"/>
      <c r="E12" s="44"/>
      <c r="F12" s="45"/>
      <c r="G12" s="22"/>
    </row>
    <row r="13" spans="1:7" x14ac:dyDescent="0.2">
      <c r="A13" s="36"/>
      <c r="B13" s="37" t="s">
        <v>96</v>
      </c>
      <c r="C13" s="43">
        <v>350</v>
      </c>
      <c r="D13" s="44"/>
      <c r="E13" s="44"/>
      <c r="F13" s="45"/>
      <c r="G13" s="22"/>
    </row>
    <row r="14" spans="1:7" x14ac:dyDescent="0.2">
      <c r="A14" s="33" t="s">
        <v>97</v>
      </c>
      <c r="B14" s="34"/>
      <c r="C14" s="46" t="s">
        <v>88</v>
      </c>
      <c r="D14" s="46" t="s">
        <v>89</v>
      </c>
      <c r="E14" s="46" t="s">
        <v>90</v>
      </c>
      <c r="F14" s="46" t="s">
        <v>98</v>
      </c>
      <c r="G14" s="22"/>
    </row>
    <row r="15" spans="1:7" x14ac:dyDescent="0.2">
      <c r="A15" s="36"/>
      <c r="B15" s="37" t="s">
        <v>51</v>
      </c>
      <c r="C15" s="43">
        <v>30</v>
      </c>
      <c r="D15" s="43">
        <v>33</v>
      </c>
      <c r="E15" s="43">
        <v>33</v>
      </c>
      <c r="F15" s="47">
        <f>E15/E22</f>
        <v>7.990314769975787E-2</v>
      </c>
      <c r="G15" s="22"/>
    </row>
    <row r="16" spans="1:7" x14ac:dyDescent="0.2">
      <c r="A16" s="36"/>
      <c r="B16" s="37" t="s">
        <v>17</v>
      </c>
      <c r="C16" s="43">
        <v>10</v>
      </c>
      <c r="D16" s="43">
        <v>0</v>
      </c>
      <c r="E16" s="43">
        <v>0</v>
      </c>
      <c r="F16" s="47">
        <f>E16/E22</f>
        <v>0</v>
      </c>
      <c r="G16" s="22"/>
    </row>
    <row r="17" spans="1:7" x14ac:dyDescent="0.2">
      <c r="A17" s="36"/>
      <c r="B17" s="37" t="s">
        <v>99</v>
      </c>
      <c r="C17" s="43">
        <v>350</v>
      </c>
      <c r="D17" s="43">
        <v>317</v>
      </c>
      <c r="E17" s="43">
        <v>317</v>
      </c>
      <c r="F17" s="47">
        <f>E17/E22</f>
        <v>0.76755447941888622</v>
      </c>
      <c r="G17" s="22"/>
    </row>
    <row r="18" spans="1:7" x14ac:dyDescent="0.2">
      <c r="A18" s="36"/>
      <c r="B18" s="48" t="s">
        <v>75</v>
      </c>
      <c r="C18" s="43">
        <v>5</v>
      </c>
      <c r="D18" s="43">
        <v>26</v>
      </c>
      <c r="E18" s="43">
        <v>26</v>
      </c>
      <c r="F18" s="47">
        <f>E18/E22</f>
        <v>6.2953995157384993E-2</v>
      </c>
      <c r="G18" s="22"/>
    </row>
    <row r="19" spans="1:7" x14ac:dyDescent="0.2">
      <c r="A19" s="36"/>
      <c r="B19" s="37" t="s">
        <v>100</v>
      </c>
      <c r="C19" s="43">
        <v>10</v>
      </c>
      <c r="D19" s="43">
        <v>0</v>
      </c>
      <c r="E19" s="43">
        <v>0</v>
      </c>
      <c r="F19" s="47">
        <f>E19/E22</f>
        <v>0</v>
      </c>
      <c r="G19" s="22"/>
    </row>
    <row r="20" spans="1:7" x14ac:dyDescent="0.2">
      <c r="A20" s="36"/>
      <c r="B20" s="37" t="s">
        <v>18</v>
      </c>
      <c r="C20" s="43">
        <v>30</v>
      </c>
      <c r="D20" s="43">
        <v>37</v>
      </c>
      <c r="E20" s="43">
        <v>37</v>
      </c>
      <c r="F20" s="47">
        <f>E20/E22</f>
        <v>8.9588377723970949E-2</v>
      </c>
      <c r="G20" s="22"/>
    </row>
    <row r="21" spans="1:7" x14ac:dyDescent="0.2">
      <c r="A21" s="36"/>
      <c r="B21" s="37" t="s">
        <v>101</v>
      </c>
      <c r="C21" s="43">
        <v>10</v>
      </c>
      <c r="D21" s="43">
        <v>0</v>
      </c>
      <c r="E21" s="43">
        <v>0</v>
      </c>
      <c r="F21" s="47">
        <f>E21/E22</f>
        <v>0</v>
      </c>
      <c r="G21" s="22"/>
    </row>
    <row r="22" spans="1:7" x14ac:dyDescent="0.2">
      <c r="A22" s="36"/>
      <c r="B22" s="49" t="s">
        <v>102</v>
      </c>
      <c r="C22" s="50">
        <f>SUM(C15:C21)</f>
        <v>445</v>
      </c>
      <c r="D22" s="50">
        <f>SUM(D15:D21)</f>
        <v>413</v>
      </c>
      <c r="E22" s="50">
        <f>SUM(E15:E21)</f>
        <v>413</v>
      </c>
      <c r="F22" s="47">
        <f>SUM(F15:F21)</f>
        <v>1</v>
      </c>
      <c r="G22" s="22"/>
    </row>
    <row r="23" spans="1:7" x14ac:dyDescent="0.2">
      <c r="A23" s="36"/>
      <c r="B23" s="51" t="s">
        <v>103</v>
      </c>
      <c r="C23" s="50">
        <f>ROUND(C11*C8,0)</f>
        <v>800</v>
      </c>
      <c r="D23" s="44"/>
      <c r="E23" s="44"/>
      <c r="F23" s="44"/>
      <c r="G23" s="22"/>
    </row>
    <row r="24" spans="1:7" x14ac:dyDescent="0.2">
      <c r="A24" s="36"/>
      <c r="B24" s="51" t="s">
        <v>104</v>
      </c>
      <c r="C24" s="50">
        <f>ROUND(C12*C8,0)</f>
        <v>1000</v>
      </c>
      <c r="D24" s="44"/>
      <c r="E24" s="44"/>
      <c r="F24" s="44"/>
      <c r="G24" s="22"/>
    </row>
    <row r="25" spans="1:7" x14ac:dyDescent="0.2">
      <c r="A25" s="36"/>
      <c r="B25" s="51" t="s">
        <v>105</v>
      </c>
      <c r="C25" s="50">
        <f>ROUND(C13*C8,0)</f>
        <v>700</v>
      </c>
      <c r="D25" s="44"/>
      <c r="E25" s="44"/>
      <c r="F25" s="44"/>
      <c r="G25" s="22"/>
    </row>
    <row r="26" spans="1:7" x14ac:dyDescent="0.2">
      <c r="A26" s="52" t="s">
        <v>106</v>
      </c>
      <c r="B26" s="53"/>
      <c r="C26" s="39"/>
      <c r="D26" s="54" t="s">
        <v>89</v>
      </c>
      <c r="E26" s="54" t="s">
        <v>90</v>
      </c>
      <c r="F26" s="54" t="s">
        <v>98</v>
      </c>
      <c r="G26" s="22"/>
    </row>
    <row r="27" spans="1:7" x14ac:dyDescent="0.2">
      <c r="A27" s="36"/>
      <c r="B27" s="48" t="s">
        <v>51</v>
      </c>
      <c r="C27" s="55" t="s">
        <v>57</v>
      </c>
      <c r="D27" s="43">
        <v>3</v>
      </c>
      <c r="E27" s="43">
        <v>2</v>
      </c>
      <c r="F27" s="47">
        <f>E27/E33</f>
        <v>0.18181818181818182</v>
      </c>
      <c r="G27" s="22"/>
    </row>
    <row r="28" spans="1:7" x14ac:dyDescent="0.2">
      <c r="A28" s="36"/>
      <c r="B28" s="48" t="s">
        <v>17</v>
      </c>
      <c r="C28" s="55" t="s">
        <v>57</v>
      </c>
      <c r="D28" s="43">
        <v>0</v>
      </c>
      <c r="E28" s="43">
        <v>0</v>
      </c>
      <c r="F28" s="47">
        <f>E28/E33</f>
        <v>0</v>
      </c>
      <c r="G28" s="22"/>
    </row>
    <row r="29" spans="1:7" x14ac:dyDescent="0.2">
      <c r="A29" s="36"/>
      <c r="B29" s="48" t="s">
        <v>99</v>
      </c>
      <c r="C29" s="55" t="s">
        <v>57</v>
      </c>
      <c r="D29" s="43">
        <v>7</v>
      </c>
      <c r="E29" s="43">
        <v>7</v>
      </c>
      <c r="F29" s="47">
        <f>E29/E33</f>
        <v>0.63636363636363635</v>
      </c>
      <c r="G29" s="22"/>
    </row>
    <row r="30" spans="1:7" x14ac:dyDescent="0.2">
      <c r="A30" s="36"/>
      <c r="B30" s="48" t="s">
        <v>75</v>
      </c>
      <c r="C30" s="55" t="s">
        <v>57</v>
      </c>
      <c r="D30" s="43">
        <v>0</v>
      </c>
      <c r="E30" s="43">
        <v>0</v>
      </c>
      <c r="F30" s="47">
        <f>E30/E33</f>
        <v>0</v>
      </c>
      <c r="G30" s="22"/>
    </row>
    <row r="31" spans="1:7" x14ac:dyDescent="0.2">
      <c r="A31" s="36"/>
      <c r="B31" s="48" t="s">
        <v>100</v>
      </c>
      <c r="C31" s="55" t="s">
        <v>57</v>
      </c>
      <c r="D31" s="43">
        <v>0</v>
      </c>
      <c r="E31" s="43">
        <v>0</v>
      </c>
      <c r="F31" s="47">
        <f>E31/E33</f>
        <v>0</v>
      </c>
      <c r="G31" s="22"/>
    </row>
    <row r="32" spans="1:7" x14ac:dyDescent="0.2">
      <c r="A32" s="36"/>
      <c r="B32" s="48" t="s">
        <v>18</v>
      </c>
      <c r="C32" s="55" t="s">
        <v>57</v>
      </c>
      <c r="D32" s="43">
        <v>2</v>
      </c>
      <c r="E32" s="43">
        <v>2</v>
      </c>
      <c r="F32" s="47">
        <f>E32/E33</f>
        <v>0.18181818181818182</v>
      </c>
      <c r="G32" s="22"/>
    </row>
    <row r="33" spans="1:7" x14ac:dyDescent="0.2">
      <c r="A33" s="36"/>
      <c r="B33" s="49" t="s">
        <v>107</v>
      </c>
      <c r="C33" s="55" t="s">
        <v>57</v>
      </c>
      <c r="D33" s="50">
        <f>SUM(D27:D32)</f>
        <v>12</v>
      </c>
      <c r="E33" s="50">
        <f>SUM(E27:E32)</f>
        <v>11</v>
      </c>
      <c r="F33" s="47">
        <f>SUM(F27:F32)</f>
        <v>1</v>
      </c>
      <c r="G33" s="22"/>
    </row>
    <row r="34" spans="1:7" x14ac:dyDescent="0.2">
      <c r="A34" s="52" t="s">
        <v>108</v>
      </c>
      <c r="B34" s="53"/>
      <c r="C34" s="56"/>
      <c r="D34" s="57" t="s">
        <v>89</v>
      </c>
      <c r="E34" s="57" t="s">
        <v>90</v>
      </c>
      <c r="F34" s="57" t="s">
        <v>98</v>
      </c>
      <c r="G34" s="22"/>
    </row>
    <row r="35" spans="1:7" x14ac:dyDescent="0.2">
      <c r="A35" s="36"/>
      <c r="B35" s="37" t="s">
        <v>51</v>
      </c>
      <c r="C35" s="55" t="s">
        <v>57</v>
      </c>
      <c r="D35" s="43">
        <v>0</v>
      </c>
      <c r="E35" s="43">
        <v>0</v>
      </c>
      <c r="F35" s="47">
        <f>E35/E41</f>
        <v>0</v>
      </c>
      <c r="G35" s="22"/>
    </row>
    <row r="36" spans="1:7" x14ac:dyDescent="0.2">
      <c r="A36" s="36"/>
      <c r="B36" s="37" t="s">
        <v>17</v>
      </c>
      <c r="C36" s="55" t="s">
        <v>57</v>
      </c>
      <c r="D36" s="43">
        <v>0</v>
      </c>
      <c r="E36" s="43">
        <v>0</v>
      </c>
      <c r="F36" s="47">
        <f>E36/E41</f>
        <v>0</v>
      </c>
      <c r="G36" s="22"/>
    </row>
    <row r="37" spans="1:7" x14ac:dyDescent="0.2">
      <c r="A37" s="36"/>
      <c r="B37" s="37" t="s">
        <v>99</v>
      </c>
      <c r="C37" s="55" t="s">
        <v>57</v>
      </c>
      <c r="D37" s="43">
        <v>7</v>
      </c>
      <c r="E37" s="43">
        <v>7</v>
      </c>
      <c r="F37" s="47">
        <f>E37/E41</f>
        <v>0.77777777777777779</v>
      </c>
      <c r="G37" s="22"/>
    </row>
    <row r="38" spans="1:7" x14ac:dyDescent="0.2">
      <c r="A38" s="36"/>
      <c r="B38" s="48" t="s">
        <v>75</v>
      </c>
      <c r="C38" s="55" t="s">
        <v>57</v>
      </c>
      <c r="D38" s="43">
        <v>0</v>
      </c>
      <c r="E38" s="43">
        <v>0</v>
      </c>
      <c r="F38" s="47">
        <f>E38/E41</f>
        <v>0</v>
      </c>
      <c r="G38" s="22"/>
    </row>
    <row r="39" spans="1:7" x14ac:dyDescent="0.2">
      <c r="A39" s="36"/>
      <c r="B39" s="37" t="s">
        <v>100</v>
      </c>
      <c r="C39" s="55" t="s">
        <v>57</v>
      </c>
      <c r="D39" s="43">
        <v>0</v>
      </c>
      <c r="E39" s="43">
        <v>0</v>
      </c>
      <c r="F39" s="47">
        <f>E39/E41</f>
        <v>0</v>
      </c>
      <c r="G39" s="22"/>
    </row>
    <row r="40" spans="1:7" x14ac:dyDescent="0.2">
      <c r="A40" s="36"/>
      <c r="B40" s="37" t="s">
        <v>18</v>
      </c>
      <c r="C40" s="55" t="s">
        <v>57</v>
      </c>
      <c r="D40" s="43">
        <v>2</v>
      </c>
      <c r="E40" s="43">
        <v>2</v>
      </c>
      <c r="F40" s="47">
        <f>E40/E41</f>
        <v>0.22222222222222221</v>
      </c>
      <c r="G40" s="22"/>
    </row>
    <row r="41" spans="1:7" x14ac:dyDescent="0.2">
      <c r="A41" s="36"/>
      <c r="B41" s="49" t="s">
        <v>107</v>
      </c>
      <c r="C41" s="55" t="s">
        <v>57</v>
      </c>
      <c r="D41" s="50">
        <f>SUM(D35:D40)</f>
        <v>9</v>
      </c>
      <c r="E41" s="50">
        <f>SUM(E35:E40)</f>
        <v>9</v>
      </c>
      <c r="F41" s="47">
        <f>SUM(F35:F40)</f>
        <v>1</v>
      </c>
      <c r="G41" s="22"/>
    </row>
    <row r="42" spans="1:7" x14ac:dyDescent="0.2">
      <c r="A42" s="22"/>
      <c r="B42" s="58" t="s">
        <v>109</v>
      </c>
      <c r="C42" s="55" t="s">
        <v>57</v>
      </c>
      <c r="D42" s="43">
        <v>0</v>
      </c>
      <c r="E42" s="43">
        <v>0</v>
      </c>
      <c r="F42" s="47"/>
      <c r="G42" s="22"/>
    </row>
  </sheetData>
  <mergeCells count="8">
    <mergeCell ref="A26:B26"/>
    <mergeCell ref="A34:B34"/>
    <mergeCell ref="A1:G1"/>
    <mergeCell ref="C3:F3"/>
    <mergeCell ref="C5:F5"/>
    <mergeCell ref="A7:B7"/>
    <mergeCell ref="A10:E10"/>
    <mergeCell ref="A14:B14"/>
  </mergeCells>
  <conditionalFormatting sqref="C22">
    <cfRule type="cellIs" dxfId="0" priority="1" stopIfTrue="1" operator="notEqual">
      <formula>$C$23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D5DF5-B298-2B47-85AB-BCDCE6556E3A}">
  <dimension ref="A1:C11"/>
  <sheetViews>
    <sheetView workbookViewId="0">
      <selection activeCell="F4" sqref="F4"/>
    </sheetView>
  </sheetViews>
  <sheetFormatPr baseColWidth="10" defaultRowHeight="16" x14ac:dyDescent="0.2"/>
  <cols>
    <col min="1" max="1" width="7.83203125" bestFit="1" customWidth="1"/>
    <col min="2" max="2" width="14.33203125" bestFit="1" customWidth="1"/>
    <col min="3" max="3" width="51.6640625" customWidth="1"/>
  </cols>
  <sheetData>
    <row r="1" spans="1:3" ht="43" x14ac:dyDescent="0.2">
      <c r="A1" s="17" t="s">
        <v>27</v>
      </c>
      <c r="B1" s="17" t="s">
        <v>28</v>
      </c>
      <c r="C1" s="18" t="s">
        <v>29</v>
      </c>
    </row>
    <row r="2" spans="1:3" x14ac:dyDescent="0.2">
      <c r="A2" s="19">
        <v>10</v>
      </c>
      <c r="B2" s="19" t="s">
        <v>30</v>
      </c>
      <c r="C2" s="20" t="s">
        <v>31</v>
      </c>
    </row>
    <row r="3" spans="1:3" x14ac:dyDescent="0.2">
      <c r="A3" s="19">
        <v>20</v>
      </c>
      <c r="B3" s="19" t="s">
        <v>32</v>
      </c>
      <c r="C3" s="20" t="s">
        <v>33</v>
      </c>
    </row>
    <row r="4" spans="1:3" x14ac:dyDescent="0.2">
      <c r="A4" s="19">
        <v>30</v>
      </c>
      <c r="B4" s="19" t="s">
        <v>34</v>
      </c>
      <c r="C4" s="20" t="s">
        <v>35</v>
      </c>
    </row>
    <row r="5" spans="1:3" x14ac:dyDescent="0.2">
      <c r="A5" s="19">
        <v>40</v>
      </c>
      <c r="B5" s="19" t="s">
        <v>36</v>
      </c>
      <c r="C5" s="20" t="s">
        <v>37</v>
      </c>
    </row>
    <row r="6" spans="1:3" x14ac:dyDescent="0.2">
      <c r="A6" s="19">
        <v>50</v>
      </c>
      <c r="B6" s="19" t="s">
        <v>38</v>
      </c>
      <c r="C6" s="20" t="s">
        <v>39</v>
      </c>
    </row>
    <row r="7" spans="1:3" x14ac:dyDescent="0.2">
      <c r="A7" s="19">
        <v>60</v>
      </c>
      <c r="B7" s="19" t="s">
        <v>40</v>
      </c>
      <c r="C7" s="20" t="s">
        <v>41</v>
      </c>
    </row>
    <row r="8" spans="1:3" x14ac:dyDescent="0.2">
      <c r="A8" s="19">
        <v>70</v>
      </c>
      <c r="B8" s="19" t="s">
        <v>42</v>
      </c>
      <c r="C8" s="20" t="s">
        <v>43</v>
      </c>
    </row>
    <row r="9" spans="1:3" x14ac:dyDescent="0.2">
      <c r="A9" s="19">
        <v>80</v>
      </c>
      <c r="B9" s="19" t="s">
        <v>44</v>
      </c>
      <c r="C9" s="20" t="s">
        <v>45</v>
      </c>
    </row>
    <row r="10" spans="1:3" x14ac:dyDescent="0.2">
      <c r="A10" s="19">
        <v>90</v>
      </c>
      <c r="B10" s="19" t="s">
        <v>46</v>
      </c>
      <c r="C10" s="20" t="s">
        <v>47</v>
      </c>
    </row>
    <row r="11" spans="1:3" x14ac:dyDescent="0.2">
      <c r="A11" s="19">
        <v>100</v>
      </c>
      <c r="B11" s="19" t="s">
        <v>48</v>
      </c>
      <c r="C11" s="20" t="s">
        <v>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D01F4-4063-B440-9D15-0B93C66EF7EC}">
  <dimension ref="A1:H34"/>
  <sheetViews>
    <sheetView workbookViewId="0">
      <selection activeCell="B4" sqref="B4"/>
    </sheetView>
  </sheetViews>
  <sheetFormatPr baseColWidth="10" defaultRowHeight="16" x14ac:dyDescent="0.2"/>
  <sheetData>
    <row r="1" spans="1:8" x14ac:dyDescent="0.2">
      <c r="A1" s="23" t="s">
        <v>15</v>
      </c>
      <c r="B1" s="24">
        <v>1</v>
      </c>
      <c r="C1" s="22"/>
      <c r="D1" s="22"/>
      <c r="E1" s="23"/>
      <c r="F1" s="22"/>
      <c r="G1" s="22"/>
      <c r="H1" s="22"/>
    </row>
    <row r="2" spans="1:8" x14ac:dyDescent="0.2">
      <c r="A2" s="23" t="s">
        <v>80</v>
      </c>
      <c r="B2" s="26" t="s">
        <v>0</v>
      </c>
      <c r="C2" s="104"/>
      <c r="D2" s="104"/>
      <c r="E2" s="104"/>
      <c r="F2" s="104"/>
      <c r="G2" s="105"/>
      <c r="H2" s="22"/>
    </row>
    <row r="3" spans="1:8" x14ac:dyDescent="0.2">
      <c r="A3" s="23" t="s">
        <v>14</v>
      </c>
      <c r="B3" s="106">
        <v>46121</v>
      </c>
      <c r="C3" s="22"/>
      <c r="D3" s="22"/>
      <c r="E3" s="22"/>
      <c r="F3" s="23" t="s">
        <v>81</v>
      </c>
      <c r="G3" s="107" t="s">
        <v>122</v>
      </c>
      <c r="H3" s="22"/>
    </row>
    <row r="4" spans="1:8" x14ac:dyDescent="0.2">
      <c r="A4" s="22"/>
      <c r="B4" s="22"/>
      <c r="C4" s="22"/>
      <c r="D4" s="22"/>
      <c r="E4" s="22"/>
      <c r="F4" s="22"/>
      <c r="G4" s="22"/>
      <c r="H4" s="22"/>
    </row>
    <row r="5" spans="1:8" ht="43" x14ac:dyDescent="0.2">
      <c r="A5" s="17" t="s">
        <v>19</v>
      </c>
      <c r="B5" s="17" t="s">
        <v>20</v>
      </c>
      <c r="C5" s="17" t="s">
        <v>21</v>
      </c>
      <c r="D5" s="17" t="s">
        <v>22</v>
      </c>
      <c r="E5" s="17" t="s">
        <v>23</v>
      </c>
      <c r="F5" s="17" t="s">
        <v>24</v>
      </c>
      <c r="G5" s="17" t="s">
        <v>25</v>
      </c>
      <c r="H5" s="17" t="s">
        <v>26</v>
      </c>
    </row>
    <row r="6" spans="1:8" x14ac:dyDescent="0.2">
      <c r="A6" s="108"/>
      <c r="B6" s="109"/>
      <c r="C6" s="109"/>
      <c r="D6" s="109"/>
      <c r="E6" s="109"/>
      <c r="F6" s="109"/>
      <c r="G6" s="109"/>
      <c r="H6" s="110"/>
    </row>
    <row r="7" spans="1:8" x14ac:dyDescent="0.2">
      <c r="A7" s="109"/>
      <c r="B7" s="109"/>
      <c r="C7" s="109"/>
      <c r="D7" s="109"/>
      <c r="E7" s="109"/>
      <c r="F7" s="109"/>
      <c r="G7" s="109"/>
      <c r="H7" s="111"/>
    </row>
    <row r="8" spans="1:8" x14ac:dyDescent="0.2">
      <c r="A8" s="109"/>
      <c r="B8" s="109"/>
      <c r="C8" s="109"/>
      <c r="D8" s="109"/>
      <c r="E8" s="109"/>
      <c r="F8" s="109"/>
      <c r="G8" s="109"/>
      <c r="H8" s="111"/>
    </row>
    <row r="9" spans="1:8" x14ac:dyDescent="0.2">
      <c r="A9" s="109"/>
      <c r="B9" s="109"/>
      <c r="C9" s="109"/>
      <c r="D9" s="109"/>
      <c r="E9" s="109"/>
      <c r="F9" s="109"/>
      <c r="G9" s="109"/>
      <c r="H9" s="111"/>
    </row>
    <row r="10" spans="1:8" x14ac:dyDescent="0.2">
      <c r="A10" s="109"/>
      <c r="B10" s="109"/>
      <c r="C10" s="109"/>
      <c r="D10" s="109"/>
      <c r="E10" s="109"/>
      <c r="F10" s="109"/>
      <c r="G10" s="109"/>
      <c r="H10" s="111"/>
    </row>
    <row r="11" spans="1:8" x14ac:dyDescent="0.2">
      <c r="A11" s="109"/>
      <c r="B11" s="109"/>
      <c r="C11" s="109"/>
      <c r="D11" s="109"/>
      <c r="E11" s="109"/>
      <c r="F11" s="109"/>
      <c r="G11" s="109"/>
      <c r="H11" s="111"/>
    </row>
    <row r="12" spans="1:8" x14ac:dyDescent="0.2">
      <c r="A12" s="109"/>
      <c r="B12" s="109"/>
      <c r="C12" s="109"/>
      <c r="D12" s="109"/>
      <c r="E12" s="109"/>
      <c r="F12" s="109"/>
      <c r="G12" s="109"/>
      <c r="H12" s="111"/>
    </row>
    <row r="13" spans="1:8" x14ac:dyDescent="0.2">
      <c r="A13" s="109"/>
      <c r="B13" s="109"/>
      <c r="C13" s="109"/>
      <c r="D13" s="109"/>
      <c r="E13" s="109"/>
      <c r="F13" s="109"/>
      <c r="G13" s="109"/>
      <c r="H13" s="111"/>
    </row>
    <row r="14" spans="1:8" x14ac:dyDescent="0.2">
      <c r="A14" s="109"/>
      <c r="B14" s="109"/>
      <c r="C14" s="109"/>
      <c r="D14" s="109"/>
      <c r="E14" s="109"/>
      <c r="F14" s="109"/>
      <c r="G14" s="109"/>
      <c r="H14" s="111"/>
    </row>
    <row r="15" spans="1:8" x14ac:dyDescent="0.2">
      <c r="A15" s="109"/>
      <c r="B15" s="109"/>
      <c r="C15" s="109"/>
      <c r="D15" s="109"/>
      <c r="E15" s="109"/>
      <c r="F15" s="109"/>
      <c r="G15" s="109"/>
      <c r="H15" s="111"/>
    </row>
    <row r="16" spans="1:8" x14ac:dyDescent="0.2">
      <c r="A16" s="109"/>
      <c r="B16" s="109"/>
      <c r="C16" s="109"/>
      <c r="D16" s="109"/>
      <c r="E16" s="109"/>
      <c r="F16" s="109"/>
      <c r="G16" s="109"/>
      <c r="H16" s="111"/>
    </row>
    <row r="17" spans="1:8" x14ac:dyDescent="0.2">
      <c r="A17" s="109"/>
      <c r="B17" s="109"/>
      <c r="C17" s="109"/>
      <c r="D17" s="109"/>
      <c r="E17" s="109"/>
      <c r="F17" s="109"/>
      <c r="G17" s="109"/>
      <c r="H17" s="111"/>
    </row>
    <row r="18" spans="1:8" x14ac:dyDescent="0.2">
      <c r="A18" s="109"/>
      <c r="B18" s="109"/>
      <c r="C18" s="109"/>
      <c r="D18" s="109"/>
      <c r="E18" s="109"/>
      <c r="F18" s="109"/>
      <c r="G18" s="109"/>
      <c r="H18" s="111"/>
    </row>
    <row r="19" spans="1:8" x14ac:dyDescent="0.2">
      <c r="A19" s="109"/>
      <c r="B19" s="109"/>
      <c r="C19" s="109"/>
      <c r="D19" s="109"/>
      <c r="E19" s="109"/>
      <c r="F19" s="109"/>
      <c r="G19" s="109"/>
      <c r="H19" s="111"/>
    </row>
    <row r="20" spans="1:8" x14ac:dyDescent="0.2">
      <c r="A20" s="109"/>
      <c r="B20" s="109"/>
      <c r="C20" s="109"/>
      <c r="D20" s="109"/>
      <c r="E20" s="109"/>
      <c r="F20" s="109"/>
      <c r="G20" s="109"/>
      <c r="H20" s="111"/>
    </row>
    <row r="21" spans="1:8" x14ac:dyDescent="0.2">
      <c r="A21" s="109"/>
      <c r="B21" s="109"/>
      <c r="C21" s="109"/>
      <c r="D21" s="109"/>
      <c r="E21" s="109"/>
      <c r="F21" s="109"/>
      <c r="G21" s="109"/>
      <c r="H21" s="111"/>
    </row>
    <row r="22" spans="1:8" x14ac:dyDescent="0.2">
      <c r="A22" s="109"/>
      <c r="B22" s="109"/>
      <c r="C22" s="109"/>
      <c r="D22" s="109"/>
      <c r="E22" s="109"/>
      <c r="F22" s="109"/>
      <c r="G22" s="109"/>
      <c r="H22" s="111"/>
    </row>
    <row r="23" spans="1:8" x14ac:dyDescent="0.2">
      <c r="A23" s="109"/>
      <c r="B23" s="109"/>
      <c r="C23" s="109"/>
      <c r="D23" s="109"/>
      <c r="E23" s="109"/>
      <c r="F23" s="109"/>
      <c r="G23" s="109"/>
      <c r="H23" s="111"/>
    </row>
    <row r="24" spans="1:8" x14ac:dyDescent="0.2">
      <c r="A24" s="109"/>
      <c r="B24" s="109"/>
      <c r="C24" s="109"/>
      <c r="D24" s="109"/>
      <c r="E24" s="109"/>
      <c r="F24" s="109"/>
      <c r="G24" s="109"/>
      <c r="H24" s="111"/>
    </row>
    <row r="25" spans="1:8" x14ac:dyDescent="0.2">
      <c r="A25" s="109"/>
      <c r="B25" s="109"/>
      <c r="C25" s="109"/>
      <c r="D25" s="109"/>
      <c r="E25" s="109"/>
      <c r="F25" s="109"/>
      <c r="G25" s="109"/>
      <c r="H25" s="111"/>
    </row>
    <row r="26" spans="1:8" x14ac:dyDescent="0.2">
      <c r="A26" s="109"/>
      <c r="B26" s="109"/>
      <c r="C26" s="109"/>
      <c r="D26" s="109"/>
      <c r="E26" s="109"/>
      <c r="F26" s="109"/>
      <c r="G26" s="109"/>
      <c r="H26" s="111"/>
    </row>
    <row r="27" spans="1:8" x14ac:dyDescent="0.2">
      <c r="A27" s="109"/>
      <c r="B27" s="109"/>
      <c r="C27" s="109"/>
      <c r="D27" s="109"/>
      <c r="E27" s="109"/>
      <c r="F27" s="109"/>
      <c r="G27" s="109"/>
      <c r="H27" s="111"/>
    </row>
    <row r="28" spans="1:8" x14ac:dyDescent="0.2">
      <c r="A28" s="109"/>
      <c r="B28" s="109"/>
      <c r="C28" s="109"/>
      <c r="D28" s="109"/>
      <c r="E28" s="109"/>
      <c r="F28" s="109"/>
      <c r="G28" s="109"/>
      <c r="H28" s="111"/>
    </row>
    <row r="29" spans="1:8" x14ac:dyDescent="0.2">
      <c r="A29" s="109"/>
      <c r="B29" s="109"/>
      <c r="C29" s="109"/>
      <c r="D29" s="109"/>
      <c r="E29" s="109"/>
      <c r="F29" s="109"/>
      <c r="G29" s="109"/>
      <c r="H29" s="111"/>
    </row>
    <row r="30" spans="1:8" x14ac:dyDescent="0.2">
      <c r="A30" s="109"/>
      <c r="B30" s="109"/>
      <c r="C30" s="109"/>
      <c r="D30" s="109"/>
      <c r="E30" s="109"/>
      <c r="F30" s="109"/>
      <c r="G30" s="109"/>
      <c r="H30" s="111"/>
    </row>
    <row r="31" spans="1:8" x14ac:dyDescent="0.2">
      <c r="A31" s="109"/>
      <c r="B31" s="109"/>
      <c r="C31" s="109"/>
      <c r="D31" s="109"/>
      <c r="E31" s="109"/>
      <c r="F31" s="109"/>
      <c r="G31" s="109"/>
      <c r="H31" s="111"/>
    </row>
    <row r="32" spans="1:8" x14ac:dyDescent="0.2">
      <c r="A32" s="109"/>
      <c r="B32" s="109"/>
      <c r="C32" s="109"/>
      <c r="D32" s="109"/>
      <c r="E32" s="109"/>
      <c r="F32" s="109"/>
      <c r="G32" s="109"/>
      <c r="H32" s="111"/>
    </row>
    <row r="33" spans="1:8" x14ac:dyDescent="0.2">
      <c r="A33" s="109"/>
      <c r="B33" s="109"/>
      <c r="C33" s="109"/>
      <c r="D33" s="109"/>
      <c r="E33" s="109"/>
      <c r="F33" s="109"/>
      <c r="G33" s="109"/>
      <c r="H33" s="111"/>
    </row>
    <row r="34" spans="1:8" x14ac:dyDescent="0.2">
      <c r="A34" s="109"/>
      <c r="B34" s="109"/>
      <c r="C34" s="109"/>
      <c r="D34" s="109"/>
      <c r="E34" s="109"/>
      <c r="F34" s="109"/>
      <c r="G34" s="109"/>
      <c r="H34" s="111"/>
    </row>
  </sheetData>
  <mergeCells count="1">
    <mergeCell ref="B2:G2"/>
  </mergeCells>
  <dataValidations count="1">
    <dataValidation type="list" allowBlank="1" showInputMessage="1" showErrorMessage="1" errorTitle="Klaida" error="Fazę reikia pasirinkti!" promptTitle="Pasirinkite" prompt="fazę" sqref="D2:E31" xr:uid="{398E446E-E159-764C-A56E-0DF076116F5C}">
      <formula1>$J$6:$J$12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LFF</vt:lpstr>
      <vt:lpstr>PDF</vt:lpstr>
      <vt:lpstr>DVF</vt:lpstr>
      <vt:lpstr>PPS</vt:lpstr>
      <vt:lpstr>DTS</vt:lpstr>
      <vt:lpstr>DFF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Lukianaitė</dc:creator>
  <cp:lastModifiedBy>Laura Lukianaitė</cp:lastModifiedBy>
  <dcterms:created xsi:type="dcterms:W3CDTF">2026-03-02T19:47:02Z</dcterms:created>
  <dcterms:modified xsi:type="dcterms:W3CDTF">2026-04-13T18:16:54Z</dcterms:modified>
</cp:coreProperties>
</file>